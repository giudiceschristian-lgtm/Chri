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imenti" sheetId="1" state="visible" r:id="rId3"/>
    <sheet name="Legenda" sheetId="2" state="visible" r:id="rId4"/>
    <sheet name="Dizionario_colonne" sheetId="3" state="visible" r:id="rId5"/>
    <sheet name="Categorie" sheetId="4" state="visible" r:id="rId6"/>
  </sheets>
  <definedNames>
    <definedName function="false" hidden="true" localSheetId="0" name="_xlnm._FilterDatabase" vbProcedure="false">Alimenti!$A$1:$BD$182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<sst xmlns="http://schemas.openxmlformats.org/spreadsheetml/2006/main" count="1561" uniqueCount="683">
  <si>
    <t xml:space="preserve">alimento</t>
  </si>
  <si>
    <t xml:space="preserve">kcal</t>
  </si>
  <si>
    <t xml:space="preserve">carboidrati_g</t>
  </si>
  <si>
    <t xml:space="preserve">proteine_g</t>
  </si>
  <si>
    <t xml:space="preserve">grassi_g</t>
  </si>
  <si>
    <t xml:space="preserve">fibra_g</t>
  </si>
  <si>
    <t xml:space="preserve">zuccheri_g</t>
  </si>
  <si>
    <t xml:space="preserve">grassi_saturi_g</t>
  </si>
  <si>
    <t xml:space="preserve">grassi_mono_g</t>
  </si>
  <si>
    <t xml:space="preserve">grassi_poli_g</t>
  </si>
  <si>
    <t xml:space="preserve">colesterolo_mg</t>
  </si>
  <si>
    <t xml:space="preserve">sodio_mg</t>
  </si>
  <si>
    <t xml:space="preserve">potassio_mg</t>
  </si>
  <si>
    <t xml:space="preserve">calcio_mg</t>
  </si>
  <si>
    <t xml:space="preserve">fosforo_mg</t>
  </si>
  <si>
    <t xml:space="preserve">magnesio_mg</t>
  </si>
  <si>
    <t xml:space="preserve">ferro_mg</t>
  </si>
  <si>
    <t xml:space="preserve">zinco_mg</t>
  </si>
  <si>
    <t xml:space="preserve">vit_a_ug_rae</t>
  </si>
  <si>
    <t xml:space="preserve">vit_c_mg</t>
  </si>
  <si>
    <t xml:space="preserve">vit_d_ug</t>
  </si>
  <si>
    <t xml:space="preserve">vit_e_mg</t>
  </si>
  <si>
    <t xml:space="preserve">vit_b1_mg</t>
  </si>
  <si>
    <t xml:space="preserve">vit_b2_mg</t>
  </si>
  <si>
    <t xml:space="preserve">vit_b3_mg</t>
  </si>
  <si>
    <t xml:space="preserve">vit_b6_mg</t>
  </si>
  <si>
    <t xml:space="preserve">folati_ug</t>
  </si>
  <si>
    <t xml:space="preserve">vit_b12_ug</t>
  </si>
  <si>
    <t xml:space="preserve">categoria</t>
  </si>
  <si>
    <t xml:space="preserve">id</t>
  </si>
  <si>
    <t xml:space="preserve">ruolo</t>
  </si>
  <si>
    <t xml:space="preserve">stato</t>
  </si>
  <si>
    <t xml:space="preserve">g_per_ml</t>
  </si>
  <si>
    <t xml:space="preserve">porzione_unitaria_g</t>
  </si>
  <si>
    <t xml:space="preserve">porzione_unitaria_descr</t>
  </si>
  <si>
    <t xml:space="preserve">all_glutine</t>
  </si>
  <si>
    <t xml:space="preserve">all_latte</t>
  </si>
  <si>
    <t xml:space="preserve">int_lattosio</t>
  </si>
  <si>
    <t xml:space="preserve">all_uova</t>
  </si>
  <si>
    <t xml:space="preserve">all_pesce</t>
  </si>
  <si>
    <t xml:space="preserve">all_crostacei</t>
  </si>
  <si>
    <t xml:space="preserve">all_molluschi</t>
  </si>
  <si>
    <t xml:space="preserve">all_frutta_guscio</t>
  </si>
  <si>
    <t xml:space="preserve">all_arachidi</t>
  </si>
  <si>
    <t xml:space="preserve">all_soia</t>
  </si>
  <si>
    <t xml:space="preserve">all_sesamo</t>
  </si>
  <si>
    <t xml:space="preserve">all_sedano</t>
  </si>
  <si>
    <t xml:space="preserve">all_senape</t>
  </si>
  <si>
    <t xml:space="preserve">all_solfiti</t>
  </si>
  <si>
    <t xml:space="preserve">all_lupini</t>
  </si>
  <si>
    <t xml:space="preserve">nichel</t>
  </si>
  <si>
    <t xml:space="preserve">fodmap_alto</t>
  </si>
  <si>
    <t xml:space="preserve">allergeni_sintesi</t>
  </si>
  <si>
    <t xml:space="preserve">kcal_da_macro</t>
  </si>
  <si>
    <t xml:space="preserve">fonte</t>
  </si>
  <si>
    <t xml:space="preserve">note</t>
  </si>
  <si>
    <t xml:space="preserve">Latte intero</t>
  </si>
  <si>
    <t xml:space="preserve">Latte e latticini</t>
  </si>
  <si>
    <t xml:space="preserve">latte_intero</t>
  </si>
  <si>
    <t xml:space="preserve">misto</t>
  </si>
  <si>
    <t xml:space="preserve">liquido</t>
  </si>
  <si>
    <t xml:space="preserve">CREA – Tabelle di composizione degli alimenti</t>
  </si>
  <si>
    <t xml:space="preserve">Latte parzialmente scremato</t>
  </si>
  <si>
    <t xml:space="preserve">latte_parzialmente_scremato</t>
  </si>
  <si>
    <t xml:space="preserve">Latte scremato</t>
  </si>
  <si>
    <t xml:space="preserve">latte_scremato</t>
  </si>
  <si>
    <t xml:space="preserve">proteine</t>
  </si>
  <si>
    <t xml:space="preserve">Yogurt bianco intero</t>
  </si>
  <si>
    <t xml:space="preserve">yogurt_bianco_intero</t>
  </si>
  <si>
    <t xml:space="preserve">crudo</t>
  </si>
  <si>
    <t xml:space="preserve">USDA FoodData Central – SR Legacy</t>
  </si>
  <si>
    <t xml:space="preserve">Yogurt greco 0% grassi</t>
  </si>
  <si>
    <t xml:space="preserve">yogurt_greco_0_grassi</t>
  </si>
  <si>
    <t xml:space="preserve">1 vasetto</t>
  </si>
  <si>
    <t xml:space="preserve">Yogurt greco 2% grassi</t>
  </si>
  <si>
    <t xml:space="preserve">yogurt_greco_2_grassi</t>
  </si>
  <si>
    <t xml:space="preserve">Skyr naturale</t>
  </si>
  <si>
    <t xml:space="preserve">skyr_naturale</t>
  </si>
  <si>
    <t xml:space="preserve">Media etichette prodotti commerciali (IT)</t>
  </si>
  <si>
    <t xml:space="preserve">Kefir di latte (parz. scremato)</t>
  </si>
  <si>
    <t xml:space="preserve">kefir_di_latte_parz_scremato</t>
  </si>
  <si>
    <t xml:space="preserve">Lattosio in parte fermentato: spesso ben tollerato</t>
  </si>
  <si>
    <t xml:space="preserve">Dessert proteico (pudding high protein)</t>
  </si>
  <si>
    <t xml:space="preserve">dessert_proteico_pudding_high_protein</t>
  </si>
  <si>
    <t xml:space="preserve">pronto</t>
  </si>
  <si>
    <t xml:space="preserve">Tipo Ehrmann High Protein / Milk Pro: verificare etichetta</t>
  </si>
  <si>
    <t xml:space="preserve">Fiocchi di latte</t>
  </si>
  <si>
    <t xml:space="preserve">fiocchi_di_latte</t>
  </si>
  <si>
    <t xml:space="preserve">1 vaschetta</t>
  </si>
  <si>
    <t xml:space="preserve">Ricotta vaccina</t>
  </si>
  <si>
    <t xml:space="preserve">ricotta_vaccina</t>
  </si>
  <si>
    <t xml:space="preserve">Ricotta light</t>
  </si>
  <si>
    <t xml:space="preserve">ricotta_light</t>
  </si>
  <si>
    <t xml:space="preserve">Mozzarella vaccina (fior di latte)</t>
  </si>
  <si>
    <t xml:space="preserve">mozzarella_vaccina_fior_di_latte</t>
  </si>
  <si>
    <t xml:space="preserve">1 mozzarella</t>
  </si>
  <si>
    <t xml:space="preserve">Mozzarella light</t>
  </si>
  <si>
    <t xml:space="preserve">mozzarella_light</t>
  </si>
  <si>
    <t xml:space="preserve">1 mozzarella light</t>
  </si>
  <si>
    <t xml:space="preserve">Parmigiano Reggiano</t>
  </si>
  <si>
    <t xml:space="preserve">parmigiano_reggiano</t>
  </si>
  <si>
    <t xml:space="preserve">stagionato</t>
  </si>
  <si>
    <t xml:space="preserve">Naturalmente privo di lattosio</t>
  </si>
  <si>
    <t xml:space="preserve">Grana Padano</t>
  </si>
  <si>
    <t xml:space="preserve">grana_padano</t>
  </si>
  <si>
    <t xml:space="preserve">Naturalmente privo di lattosio (contiene lisozima da uovo)</t>
  </si>
  <si>
    <t xml:space="preserve">Feta</t>
  </si>
  <si>
    <t xml:space="preserve">feta</t>
  </si>
  <si>
    <t xml:space="preserve">Uovo intero</t>
  </si>
  <si>
    <t xml:space="preserve">Uova</t>
  </si>
  <si>
    <t xml:space="preserve">uovo_intero</t>
  </si>
  <si>
    <t xml:space="preserve">1 uovo medio (senza guscio)</t>
  </si>
  <si>
    <t xml:space="preserve">Albume d'uovo</t>
  </si>
  <si>
    <t xml:space="preserve">albume_d_uovo</t>
  </si>
  <si>
    <t xml:space="preserve">1 albume</t>
  </si>
  <si>
    <t xml:space="preserve">Albume liquido pastorizzato (brick)</t>
  </si>
  <si>
    <t xml:space="preserve">albume_liquido_pastorizzato_brick</t>
  </si>
  <si>
    <t xml:space="preserve">Tuorlo d'uovo</t>
  </si>
  <si>
    <t xml:space="preserve">tuorlo_d_uovo</t>
  </si>
  <si>
    <t xml:space="preserve">grassi</t>
  </si>
  <si>
    <t xml:space="preserve">1 tuorlo</t>
  </si>
  <si>
    <t xml:space="preserve">Petto di pollo (senza pelle)</t>
  </si>
  <si>
    <t xml:space="preserve">Carni</t>
  </si>
  <si>
    <t xml:space="preserve">petto_di_pollo_senza_pelle</t>
  </si>
  <si>
    <t xml:space="preserve">Petto di tacchino</t>
  </si>
  <si>
    <t xml:space="preserve">petto_di_tacchino</t>
  </si>
  <si>
    <t xml:space="preserve">Coscia di pollo (senza pelle)</t>
  </si>
  <si>
    <t xml:space="preserve">coscia_di_pollo_senza_pelle</t>
  </si>
  <si>
    <t xml:space="preserve">Manzo magro (girello/fesa)</t>
  </si>
  <si>
    <t xml:space="preserve">manzo_magro_girello_fesa</t>
  </si>
  <si>
    <t xml:space="preserve">Macinato di manzo magro (5% grassi)</t>
  </si>
  <si>
    <t xml:space="preserve">macinato_di_manzo_magro_5_grassi</t>
  </si>
  <si>
    <t xml:space="preserve">Vitello (fesa)</t>
  </si>
  <si>
    <t xml:space="preserve">vitello_fesa</t>
  </si>
  <si>
    <t xml:space="preserve">Lonza di maiale</t>
  </si>
  <si>
    <t xml:space="preserve">lonza_di_maiale</t>
  </si>
  <si>
    <t xml:space="preserve">Filetto di maiale</t>
  </si>
  <si>
    <t xml:space="preserve">filetto_di_maiale</t>
  </si>
  <si>
    <t xml:space="preserve">Coniglio</t>
  </si>
  <si>
    <t xml:space="preserve">coniglio</t>
  </si>
  <si>
    <t xml:space="preserve">Cavallo</t>
  </si>
  <si>
    <t xml:space="preserve">cavallo</t>
  </si>
  <si>
    <t xml:space="preserve">Bresaola</t>
  </si>
  <si>
    <t xml:space="preserve">Salumi</t>
  </si>
  <si>
    <t xml:space="preserve">bresaola</t>
  </si>
  <si>
    <t xml:space="preserve">Fesa di tacchino al forno (affettato)</t>
  </si>
  <si>
    <t xml:space="preserve">fesa_di_tacchino_al_forno_affettato</t>
  </si>
  <si>
    <t xml:space="preserve">cotto</t>
  </si>
  <si>
    <t xml:space="preserve">Prosciutto crudo sgrassato</t>
  </si>
  <si>
    <t xml:space="preserve">prosciutto_crudo_sgrassato</t>
  </si>
  <si>
    <t xml:space="preserve">Prosciutto cotto alta qualità</t>
  </si>
  <si>
    <t xml:space="preserve">prosciutto_cotto_alta_qualita</t>
  </si>
  <si>
    <t xml:space="preserve">Merluzzo</t>
  </si>
  <si>
    <t xml:space="preserve">Pesce</t>
  </si>
  <si>
    <t xml:space="preserve">merluzzo</t>
  </si>
  <si>
    <t xml:space="preserve">Nasello</t>
  </si>
  <si>
    <t xml:space="preserve">nasello</t>
  </si>
  <si>
    <t xml:space="preserve">Platessa</t>
  </si>
  <si>
    <t xml:space="preserve">platessa</t>
  </si>
  <si>
    <t xml:space="preserve">Sogliola</t>
  </si>
  <si>
    <t xml:space="preserve">sogliola</t>
  </si>
  <si>
    <t xml:space="preserve">Orata (allevamento)</t>
  </si>
  <si>
    <t xml:space="preserve">orata_allevamento</t>
  </si>
  <si>
    <t xml:space="preserve">Semigrasso: togliere 5 ml di olio quando sostituisce un pesce magro</t>
  </si>
  <si>
    <t xml:space="preserve">Spigola / branzino</t>
  </si>
  <si>
    <t xml:space="preserve">spigola_branzino</t>
  </si>
  <si>
    <t xml:space="preserve">Se d'allevamento più grassa (fino a ~5 g/100 g)</t>
  </si>
  <si>
    <t xml:space="preserve">Salmone (allevamento)</t>
  </si>
  <si>
    <t xml:space="preserve">salmone_allevamento</t>
  </si>
  <si>
    <t xml:space="preserve">Salmone affumicato</t>
  </si>
  <si>
    <t xml:space="preserve">salmone_affumicato</t>
  </si>
  <si>
    <t xml:space="preserve">Macro: media etichette IT; micro: USDA FoodData Central – SR Legacy</t>
  </si>
  <si>
    <t xml:space="preserve">Tonno fresco</t>
  </si>
  <si>
    <t xml:space="preserve">tonno_fresco</t>
  </si>
  <si>
    <t xml:space="preserve">Tonno al naturale (sgocciolato)</t>
  </si>
  <si>
    <t xml:space="preserve">tonno_al_naturale_sgocciolato</t>
  </si>
  <si>
    <t xml:space="preserve">sgocciolato</t>
  </si>
  <si>
    <t xml:space="preserve">1 scatoletta (sgocciolato)</t>
  </si>
  <si>
    <t xml:space="preserve">Tonno sott'olio (sgocciolato)</t>
  </si>
  <si>
    <t xml:space="preserve">tonno_sott_olio_sgocciolato</t>
  </si>
  <si>
    <t xml:space="preserve">Alici / acciughe fresche</t>
  </si>
  <si>
    <t xml:space="preserve">alici_acciughe_fresche</t>
  </si>
  <si>
    <t xml:space="preserve">Sgombro</t>
  </si>
  <si>
    <t xml:space="preserve">sgombro</t>
  </si>
  <si>
    <t xml:space="preserve">Pesce spada</t>
  </si>
  <si>
    <t xml:space="preserve">pesce_spada</t>
  </si>
  <si>
    <t xml:space="preserve">Trota (allevamento)</t>
  </si>
  <si>
    <t xml:space="preserve">trota_allevamento</t>
  </si>
  <si>
    <t xml:space="preserve">Baccalà ammollato</t>
  </si>
  <si>
    <t xml:space="preserve">baccala_ammollato</t>
  </si>
  <si>
    <t xml:space="preserve">ammollato</t>
  </si>
  <si>
    <t xml:space="preserve">Sodio molto variabile secondo l'ammollo</t>
  </si>
  <si>
    <t xml:space="preserve">Gamberi / gamberetti</t>
  </si>
  <si>
    <t xml:space="preserve">Crostacei e molluschi</t>
  </si>
  <si>
    <t xml:space="preserve">gamberi_gamberetti</t>
  </si>
  <si>
    <t xml:space="preserve">Calamari</t>
  </si>
  <si>
    <t xml:space="preserve">calamari</t>
  </si>
  <si>
    <t xml:space="preserve">Polpo</t>
  </si>
  <si>
    <t xml:space="preserve">polpo</t>
  </si>
  <si>
    <t xml:space="preserve">Seppia</t>
  </si>
  <si>
    <t xml:space="preserve">seppia</t>
  </si>
  <si>
    <t xml:space="preserve">Cozze (sgusciate)</t>
  </si>
  <si>
    <t xml:space="preserve">cozze_sgusciate</t>
  </si>
  <si>
    <t xml:space="preserve">Vongole (sgusciate)</t>
  </si>
  <si>
    <t xml:space="preserve">vongole_sgusciate</t>
  </si>
  <si>
    <t xml:space="preserve">Tofu compatto (naturale)</t>
  </si>
  <si>
    <t xml:space="preserve">Proteine vegetali</t>
  </si>
  <si>
    <t xml:space="preserve">tofu_compatto_naturale</t>
  </si>
  <si>
    <t xml:space="preserve">Calcio molto variabile in base al coagulante</t>
  </si>
  <si>
    <t xml:space="preserve">Tempeh</t>
  </si>
  <si>
    <t xml:space="preserve">tempeh</t>
  </si>
  <si>
    <t xml:space="preserve">Seitan</t>
  </si>
  <si>
    <t xml:space="preserve">seitan</t>
  </si>
  <si>
    <t xml:space="preserve">Soia gialla secca</t>
  </si>
  <si>
    <t xml:space="preserve">soia_gialla_secca</t>
  </si>
  <si>
    <t xml:space="preserve">secco</t>
  </si>
  <si>
    <t xml:space="preserve">Edamame (surgelati)</t>
  </si>
  <si>
    <t xml:space="preserve">edamame_surgelati</t>
  </si>
  <si>
    <t xml:space="preserve">Lupini in salamoia (sgocciolati)</t>
  </si>
  <si>
    <t xml:space="preserve">lupini_in_salamoia_sgocciolati</t>
  </si>
  <si>
    <t xml:space="preserve">Sodio dipendente dalla salamoia</t>
  </si>
  <si>
    <t xml:space="preserve">Ceci secchi</t>
  </si>
  <si>
    <t xml:space="preserve">Legumi</t>
  </si>
  <si>
    <t xml:space="preserve">ceci_secchi</t>
  </si>
  <si>
    <t xml:space="preserve">carboidrati</t>
  </si>
  <si>
    <t xml:space="preserve">Fagioli borlotti secchi</t>
  </si>
  <si>
    <t xml:space="preserve">fagioli_borlotti_secchi</t>
  </si>
  <si>
    <t xml:space="preserve">Fagioli cannellini secchi</t>
  </si>
  <si>
    <t xml:space="preserve">fagioli_cannellini_secchi</t>
  </si>
  <si>
    <t xml:space="preserve">Lenticchie secche</t>
  </si>
  <si>
    <t xml:space="preserve">lenticchie_secche</t>
  </si>
  <si>
    <t xml:space="preserve">Lenticchie rosse decorticate</t>
  </si>
  <si>
    <t xml:space="preserve">lenticchie_rosse_decorticate</t>
  </si>
  <si>
    <t xml:space="preserve">Più digeribili; meglio tollerate con colon irritabile</t>
  </si>
  <si>
    <t xml:space="preserve">Ceci in barattolo (sgocciolati)</t>
  </si>
  <si>
    <t xml:space="preserve">ceci_in_barattolo_sgocciolati</t>
  </si>
  <si>
    <t xml:space="preserve">Sciacquare riduce sodio e FODMAP</t>
  </si>
  <si>
    <t xml:space="preserve">Fagioli in barattolo (sgocciolati)</t>
  </si>
  <si>
    <t xml:space="preserve">fagioli_in_barattolo_sgocciolati</t>
  </si>
  <si>
    <t xml:space="preserve">Piselli surgelati</t>
  </si>
  <si>
    <t xml:space="preserve">piselli_surgelati</t>
  </si>
  <si>
    <t xml:space="preserve">Pasta di semola</t>
  </si>
  <si>
    <t xml:space="preserve">Cereali e farinacei</t>
  </si>
  <si>
    <t xml:space="preserve">pasta_di_semola</t>
  </si>
  <si>
    <t xml:space="preserve">Pasta integrale</t>
  </si>
  <si>
    <t xml:space="preserve">pasta_integrale</t>
  </si>
  <si>
    <t xml:space="preserve">Riso bianco</t>
  </si>
  <si>
    <t xml:space="preserve">riso_bianco</t>
  </si>
  <si>
    <t xml:space="preserve">Riso basmati</t>
  </si>
  <si>
    <t xml:space="preserve">riso_basmati</t>
  </si>
  <si>
    <t xml:space="preserve">Riso integrale</t>
  </si>
  <si>
    <t xml:space="preserve">riso_integrale</t>
  </si>
  <si>
    <t xml:space="preserve">Couscous</t>
  </si>
  <si>
    <t xml:space="preserve">couscous</t>
  </si>
  <si>
    <t xml:space="preserve">Quinoa</t>
  </si>
  <si>
    <t xml:space="preserve">quinoa</t>
  </si>
  <si>
    <t xml:space="preserve">Naturalmente senza glutine</t>
  </si>
  <si>
    <t xml:space="preserve">Farro</t>
  </si>
  <si>
    <t xml:space="preserve">farro</t>
  </si>
  <si>
    <t xml:space="preserve">Orzo perlato</t>
  </si>
  <si>
    <t xml:space="preserve">orzo_perlato</t>
  </si>
  <si>
    <t xml:space="preserve">Grano saraceno</t>
  </si>
  <si>
    <t xml:space="preserve">grano_saraceno</t>
  </si>
  <si>
    <t xml:space="preserve">Fiocchi / farina d'avena</t>
  </si>
  <si>
    <t xml:space="preserve">fiocchi_farina_d_avena</t>
  </si>
  <si>
    <t xml:space="preserve">Glutine: possibile contaminazione salvo avena certificata senza glutine</t>
  </si>
  <si>
    <t xml:space="preserve">Farina di frumento tipo 00</t>
  </si>
  <si>
    <t xml:space="preserve">farina_di_frumento_tipo_00</t>
  </si>
  <si>
    <t xml:space="preserve">Pane comune (tipo 0)</t>
  </si>
  <si>
    <t xml:space="preserve">pane_comune_tipo_0</t>
  </si>
  <si>
    <t xml:space="preserve">Pane integrale</t>
  </si>
  <si>
    <t xml:space="preserve">pane_integrale</t>
  </si>
  <si>
    <t xml:space="preserve">Pane di segale</t>
  </si>
  <si>
    <t xml:space="preserve">pane_di_segale</t>
  </si>
  <si>
    <t xml:space="preserve">Valori di micronutrienti senza arricchimento (USDA è arricchito)</t>
  </si>
  <si>
    <t xml:space="preserve">Pan bauletto bianco</t>
  </si>
  <si>
    <t xml:space="preserve">pan_bauletto_bianco</t>
  </si>
  <si>
    <t xml:space="preserve">1 fetta</t>
  </si>
  <si>
    <t xml:space="preserve">Fette biscottate</t>
  </si>
  <si>
    <t xml:space="preserve">fette_biscottate</t>
  </si>
  <si>
    <t xml:space="preserve">Gallette di riso</t>
  </si>
  <si>
    <t xml:space="preserve">gallette_di_riso</t>
  </si>
  <si>
    <t xml:space="preserve">1 galletta</t>
  </si>
  <si>
    <t xml:space="preserve">Gallette di mais</t>
  </si>
  <si>
    <t xml:space="preserve">gallette_di_mais</t>
  </si>
  <si>
    <t xml:space="preserve">Crema di riso</t>
  </si>
  <si>
    <t xml:space="preserve">crema_di_riso</t>
  </si>
  <si>
    <t xml:space="preserve">Cornflakes</t>
  </si>
  <si>
    <t xml:space="preserve">cornflakes</t>
  </si>
  <si>
    <t xml:space="preserve">Contengono malto d'orzo (glutine); micronutrienti variabili se arricchiti</t>
  </si>
  <si>
    <t xml:space="preserve">Rice krispies</t>
  </si>
  <si>
    <t xml:space="preserve">rice_krispies</t>
  </si>
  <si>
    <t xml:space="preserve">Contengono malto d'orzo (glutine)</t>
  </si>
  <si>
    <t xml:space="preserve">Choco krispies</t>
  </si>
  <si>
    <t xml:space="preserve">choco_krispies</t>
  </si>
  <si>
    <t xml:space="preserve">Muesli croccante (granola)</t>
  </si>
  <si>
    <t xml:space="preserve">muesli_croccante_granola</t>
  </si>
  <si>
    <t xml:space="preserve">Muesli classico (non tostato)</t>
  </si>
  <si>
    <t xml:space="preserve">muesli_classico_non_tostato</t>
  </si>
  <si>
    <t xml:space="preserve">Biscotti secchi (tipo Oro Saiwa)</t>
  </si>
  <si>
    <t xml:space="preserve">biscotti_secchi_tipo_oro_saiwa</t>
  </si>
  <si>
    <t xml:space="preserve">1 biscotto</t>
  </si>
  <si>
    <t xml:space="preserve">Crackers classici</t>
  </si>
  <si>
    <t xml:space="preserve">crackers_classici</t>
  </si>
  <si>
    <t xml:space="preserve">1 pacchetto</t>
  </si>
  <si>
    <t xml:space="preserve">Gnocchi di patate</t>
  </si>
  <si>
    <t xml:space="preserve">gnocchi_di_patate</t>
  </si>
  <si>
    <t xml:space="preserve">Patate</t>
  </si>
  <si>
    <t xml:space="preserve">Tuberi</t>
  </si>
  <si>
    <t xml:space="preserve">patate</t>
  </si>
  <si>
    <t xml:space="preserve">Patate dolci (batata)</t>
  </si>
  <si>
    <t xml:space="preserve">patate_dolci_batata</t>
  </si>
  <si>
    <t xml:space="preserve">Banana</t>
  </si>
  <si>
    <t xml:space="preserve">Frutta</t>
  </si>
  <si>
    <t xml:space="preserve">banana</t>
  </si>
  <si>
    <t xml:space="preserve">frutta</t>
  </si>
  <si>
    <t xml:space="preserve">1 banana media (polpa)</t>
  </si>
  <si>
    <t xml:space="preserve">Mela</t>
  </si>
  <si>
    <t xml:space="preserve">mela</t>
  </si>
  <si>
    <t xml:space="preserve">1 mela media (senza torsolo)</t>
  </si>
  <si>
    <t xml:space="preserve">Pera</t>
  </si>
  <si>
    <t xml:space="preserve">pera</t>
  </si>
  <si>
    <t xml:space="preserve">1 pera media</t>
  </si>
  <si>
    <t xml:space="preserve">Arancia</t>
  </si>
  <si>
    <t xml:space="preserve">arancia</t>
  </si>
  <si>
    <t xml:space="preserve">1 arancia media (polpa)</t>
  </si>
  <si>
    <t xml:space="preserve">Mandarino</t>
  </si>
  <si>
    <t xml:space="preserve">mandarino</t>
  </si>
  <si>
    <t xml:space="preserve">1 mandarino (polpa)</t>
  </si>
  <si>
    <t xml:space="preserve">Ananas</t>
  </si>
  <si>
    <t xml:space="preserve">ananas</t>
  </si>
  <si>
    <t xml:space="preserve">Fragole</t>
  </si>
  <si>
    <t xml:space="preserve">fragole</t>
  </si>
  <si>
    <t xml:space="preserve">Kiwi</t>
  </si>
  <si>
    <t xml:space="preserve">kiwi</t>
  </si>
  <si>
    <t xml:space="preserve">1 kiwi (polpa)</t>
  </si>
  <si>
    <t xml:space="preserve">Possibile allergene (non incluso nei 14 UE)</t>
  </si>
  <si>
    <t xml:space="preserve">Melone</t>
  </si>
  <si>
    <t xml:space="preserve">melone</t>
  </si>
  <si>
    <t xml:space="preserve">Anguria</t>
  </si>
  <si>
    <t xml:space="preserve">anguria</t>
  </si>
  <si>
    <t xml:space="preserve">Uva</t>
  </si>
  <si>
    <t xml:space="preserve">uva</t>
  </si>
  <si>
    <t xml:space="preserve">Mango</t>
  </si>
  <si>
    <t xml:space="preserve">mango</t>
  </si>
  <si>
    <t xml:space="preserve">Mirtilli</t>
  </si>
  <si>
    <t xml:space="preserve">mirtilli</t>
  </si>
  <si>
    <t xml:space="preserve">Lamponi</t>
  </si>
  <si>
    <t xml:space="preserve">lamponi</t>
  </si>
  <si>
    <t xml:space="preserve">Pesca</t>
  </si>
  <si>
    <t xml:space="preserve">pesca</t>
  </si>
  <si>
    <t xml:space="preserve">Prugna (susina)</t>
  </si>
  <si>
    <t xml:space="preserve">prugna_susina</t>
  </si>
  <si>
    <t xml:space="preserve">Cachi (kaki)</t>
  </si>
  <si>
    <t xml:space="preserve">cachi_kaki</t>
  </si>
  <si>
    <t xml:space="preserve">Papaya</t>
  </si>
  <si>
    <t xml:space="preserve">papaya</t>
  </si>
  <si>
    <t xml:space="preserve">Noci</t>
  </si>
  <si>
    <t xml:space="preserve">Frutta secca e semi</t>
  </si>
  <si>
    <t xml:space="preserve">noci</t>
  </si>
  <si>
    <t xml:space="preserve">Mandorle</t>
  </si>
  <si>
    <t xml:space="preserve">mandorle</t>
  </si>
  <si>
    <t xml:space="preserve">FODMAP alto oltre ~10 mandorle</t>
  </si>
  <si>
    <t xml:space="preserve">Nocciole</t>
  </si>
  <si>
    <t xml:space="preserve">nocciole</t>
  </si>
  <si>
    <t xml:space="preserve">Anacardi</t>
  </si>
  <si>
    <t xml:space="preserve">anacardi</t>
  </si>
  <si>
    <t xml:space="preserve">Pistacchi</t>
  </si>
  <si>
    <t xml:space="preserve">pistacchi</t>
  </si>
  <si>
    <t xml:space="preserve">Arachidi</t>
  </si>
  <si>
    <t xml:space="preserve">arachidi</t>
  </si>
  <si>
    <t xml:space="preserve">Burro / crema d'arachidi 100%</t>
  </si>
  <si>
    <t xml:space="preserve">burro_crema_d_arachidi_100</t>
  </si>
  <si>
    <t xml:space="preserve">Crema di mandorle 100%</t>
  </si>
  <si>
    <t xml:space="preserve">crema_di_mandorle_100</t>
  </si>
  <si>
    <t xml:space="preserve">Semi di chia</t>
  </si>
  <si>
    <t xml:space="preserve">semi_di_chia</t>
  </si>
  <si>
    <t xml:space="preserve">Semi di lino</t>
  </si>
  <si>
    <t xml:space="preserve">semi_di_lino</t>
  </si>
  <si>
    <t xml:space="preserve">Semi di zucca</t>
  </si>
  <si>
    <t xml:space="preserve">semi_di_zucca</t>
  </si>
  <si>
    <t xml:space="preserve">Semi di sesamo</t>
  </si>
  <si>
    <t xml:space="preserve">semi_di_sesamo</t>
  </si>
  <si>
    <t xml:space="preserve">Olio extravergine d'oliva</t>
  </si>
  <si>
    <t xml:space="preserve">Grassi e condimenti</t>
  </si>
  <si>
    <t xml:space="preserve">olio_extravergine_d_oliva</t>
  </si>
  <si>
    <t xml:space="preserve">1 cucchiaio (~10 ml = 9 g)</t>
  </si>
  <si>
    <t xml:space="preserve">Olio di semi di lino</t>
  </si>
  <si>
    <t xml:space="preserve">olio_di_semi_di_lino</t>
  </si>
  <si>
    <t xml:space="preserve">Solo a crudo, conservare in frigo</t>
  </si>
  <si>
    <t xml:space="preserve">Burro</t>
  </si>
  <si>
    <t xml:space="preserve">burro</t>
  </si>
  <si>
    <t xml:space="preserve">Lattosio in tracce</t>
  </si>
  <si>
    <t xml:space="preserve">Avocado</t>
  </si>
  <si>
    <t xml:space="preserve">avocado</t>
  </si>
  <si>
    <t xml:space="preserve">Passata di pomodoro</t>
  </si>
  <si>
    <t xml:space="preserve">passata_di_pomodoro</t>
  </si>
  <si>
    <t xml:space="preserve">verdura</t>
  </si>
  <si>
    <t xml:space="preserve">Senape</t>
  </si>
  <si>
    <t xml:space="preserve">senape</t>
  </si>
  <si>
    <t xml:space="preserve">condimento</t>
  </si>
  <si>
    <t xml:space="preserve">Aceto balsamico</t>
  </si>
  <si>
    <t xml:space="preserve">aceto_balsamico</t>
  </si>
  <si>
    <t xml:space="preserve">Salsa di soia</t>
  </si>
  <si>
    <t xml:space="preserve">salsa_di_soia</t>
  </si>
  <si>
    <t xml:space="preserve">Cioccolato fondente 85%</t>
  </si>
  <si>
    <t xml:space="preserve">Dolci e varie</t>
  </si>
  <si>
    <t xml:space="preserve">cioccolato_fondente_85</t>
  </si>
  <si>
    <t xml:space="preserve">Cacao amaro in polvere</t>
  </si>
  <si>
    <t xml:space="preserve">cacao_amaro_in_polvere</t>
  </si>
  <si>
    <t xml:space="preserve">Miele</t>
  </si>
  <si>
    <t xml:space="preserve">miele</t>
  </si>
  <si>
    <t xml:space="preserve">1 cucchiaino</t>
  </si>
  <si>
    <t xml:space="preserve">Confettura light (tipo Hero Light)</t>
  </si>
  <si>
    <t xml:space="preserve">confettura_light_tipo_hero_light</t>
  </si>
  <si>
    <t xml:space="preserve">Hero Light ≈ 120-150 kcal/100 g: verificare etichetta</t>
  </si>
  <si>
    <t xml:space="preserve">Zucchero</t>
  </si>
  <si>
    <t xml:space="preserve">zucchero</t>
  </si>
  <si>
    <t xml:space="preserve">Proteine whey concentrate (WPC 80)</t>
  </si>
  <si>
    <t xml:space="preserve">Integratori e prodotti proteici</t>
  </si>
  <si>
    <t xml:space="preserve">proteine_whey_concentrate_wpc_80</t>
  </si>
  <si>
    <t xml:space="preserve">polvere</t>
  </si>
  <si>
    <t xml:space="preserve">1 misurino</t>
  </si>
  <si>
    <t xml:space="preserve">Proteine whey isolate</t>
  </si>
  <si>
    <t xml:space="preserve">proteine_whey_isolate</t>
  </si>
  <si>
    <t xml:space="preserve">Lattosio &lt;1 g/100 g: generalmente tollerato</t>
  </si>
  <si>
    <t xml:space="preserve">Barretta proteica (generica)</t>
  </si>
  <si>
    <t xml:space="preserve">barretta_proteica_generica</t>
  </si>
  <si>
    <t xml:space="preserve">1 barretta</t>
  </si>
  <si>
    <t xml:space="preserve">I carboidrati includono polioli (FODMAP); verificare etichetta</t>
  </si>
  <si>
    <t xml:space="preserve">Zucchine</t>
  </si>
  <si>
    <t xml:space="preserve">Verdure</t>
  </si>
  <si>
    <t xml:space="preserve">zucchine</t>
  </si>
  <si>
    <t xml:space="preserve">Carote</t>
  </si>
  <si>
    <t xml:space="preserve">carote</t>
  </si>
  <si>
    <t xml:space="preserve">Spinaci</t>
  </si>
  <si>
    <t xml:space="preserve">spinaci</t>
  </si>
  <si>
    <t xml:space="preserve">Melanzane</t>
  </si>
  <si>
    <t xml:space="preserve">melanzane</t>
  </si>
  <si>
    <t xml:space="preserve">Zucca</t>
  </si>
  <si>
    <t xml:space="preserve">zucca</t>
  </si>
  <si>
    <t xml:space="preserve">Fagiolini</t>
  </si>
  <si>
    <t xml:space="preserve">fagiolini</t>
  </si>
  <si>
    <t xml:space="preserve">Lattuga</t>
  </si>
  <si>
    <t xml:space="preserve">lattuga</t>
  </si>
  <si>
    <t xml:space="preserve">Insalata iceberg</t>
  </si>
  <si>
    <t xml:space="preserve">insalata_iceberg</t>
  </si>
  <si>
    <t xml:space="preserve">Rucola</t>
  </si>
  <si>
    <t xml:space="preserve">rucola</t>
  </si>
  <si>
    <t xml:space="preserve">Radicchio</t>
  </si>
  <si>
    <t xml:space="preserve">radicchio</t>
  </si>
  <si>
    <t xml:space="preserve">Pomodori</t>
  </si>
  <si>
    <t xml:space="preserve">pomodori</t>
  </si>
  <si>
    <t xml:space="preserve">Peperoni rossi</t>
  </si>
  <si>
    <t xml:space="preserve">peperoni_rossi</t>
  </si>
  <si>
    <t xml:space="preserve">Finocchi</t>
  </si>
  <si>
    <t xml:space="preserve">finocchi</t>
  </si>
  <si>
    <t xml:space="preserve">FODMAP moderato in porzioni abbondanti</t>
  </si>
  <si>
    <t xml:space="preserve">Cicoria</t>
  </si>
  <si>
    <t xml:space="preserve">cicoria</t>
  </si>
  <si>
    <t xml:space="preserve">Cime di rapa</t>
  </si>
  <si>
    <t xml:space="preserve">cime_di_rapa</t>
  </si>
  <si>
    <t xml:space="preserve">Funghi champignon</t>
  </si>
  <si>
    <t xml:space="preserve">funghi_champignon</t>
  </si>
  <si>
    <t xml:space="preserve">Indivia</t>
  </si>
  <si>
    <t xml:space="preserve">indivia</t>
  </si>
  <si>
    <t xml:space="preserve">Rapa</t>
  </si>
  <si>
    <t xml:space="preserve">rapa</t>
  </si>
  <si>
    <t xml:space="preserve">Asparagi</t>
  </si>
  <si>
    <t xml:space="preserve">asparagi</t>
  </si>
  <si>
    <t xml:space="preserve">Cavolini di Bruxelles</t>
  </si>
  <si>
    <t xml:space="preserve">cavolini_di_bruxelles</t>
  </si>
  <si>
    <t xml:space="preserve">Cavolfiore</t>
  </si>
  <si>
    <t xml:space="preserve">cavolfiore</t>
  </si>
  <si>
    <t xml:space="preserve">Broccoli</t>
  </si>
  <si>
    <t xml:space="preserve">broccoli</t>
  </si>
  <si>
    <t xml:space="preserve">Verza</t>
  </si>
  <si>
    <t xml:space="preserve">verza</t>
  </si>
  <si>
    <t xml:space="preserve">Cavolo nero</t>
  </si>
  <si>
    <t xml:space="preserve">cavolo_nero</t>
  </si>
  <si>
    <t xml:space="preserve">Carciofi</t>
  </si>
  <si>
    <t xml:space="preserve">carciofi</t>
  </si>
  <si>
    <t xml:space="preserve">Cetrioli</t>
  </si>
  <si>
    <t xml:space="preserve">cetrioli</t>
  </si>
  <si>
    <t xml:space="preserve">Sedano</t>
  </si>
  <si>
    <t xml:space="preserve">sedano</t>
  </si>
  <si>
    <t xml:space="preserve">Cipolla</t>
  </si>
  <si>
    <t xml:space="preserve">cipolla</t>
  </si>
  <si>
    <t xml:space="preserve">Aglio</t>
  </si>
  <si>
    <t xml:space="preserve">aglio</t>
  </si>
  <si>
    <t xml:space="preserve">Bietole</t>
  </si>
  <si>
    <t xml:space="preserve">bietole</t>
  </si>
  <si>
    <t xml:space="preserve">Bevanda di soia senza zuccheri</t>
  </si>
  <si>
    <t xml:space="preserve">Bevande vegetali</t>
  </si>
  <si>
    <t xml:space="preserve">bevanda_di_soia_senza_zuccheri</t>
  </si>
  <si>
    <t xml:space="preserve">Calcio, vit. D e B12 solo se arricchita</t>
  </si>
  <si>
    <t xml:space="preserve">Bevanda di avena</t>
  </si>
  <si>
    <t xml:space="preserve">bevanda_di_avena</t>
  </si>
  <si>
    <t xml:space="preserve">Bevanda di mandorla senza zuccheri</t>
  </si>
  <si>
    <t xml:space="preserve">bevanda_di_mandorla_senza_zuccheri</t>
  </si>
  <si>
    <t xml:space="preserve">Bevanda di riso</t>
  </si>
  <si>
    <t xml:space="preserve">bevanda_di_riso</t>
  </si>
  <si>
    <t xml:space="preserve">LEGENDA ALLERGENI, INTOLLERANZE E FLAG</t>
  </si>
  <si>
    <t xml:space="preserve">Colonna</t>
  </si>
  <si>
    <t xml:space="preserve">Allergene / flag</t>
  </si>
  <si>
    <t xml:space="preserve">Colore</t>
  </si>
  <si>
    <t xml:space="preserve">N. alimenti presenti (1)</t>
  </si>
  <si>
    <t xml:space="preserve">N. alimenti tracce (2)</t>
  </si>
  <si>
    <t xml:space="preserve">Glutine / celiachia</t>
  </si>
  <si>
    <t xml:space="preserve">Latte (proteine del latte)</t>
  </si>
  <si>
    <t xml:space="preserve">Lattosio (intolleranza)</t>
  </si>
  <si>
    <t xml:space="preserve">Crostacei</t>
  </si>
  <si>
    <t xml:space="preserve">Molluschi</t>
  </si>
  <si>
    <t xml:space="preserve">Frutta a guscio</t>
  </si>
  <si>
    <t xml:space="preserve">Soia</t>
  </si>
  <si>
    <t xml:space="preserve">Sesamo</t>
  </si>
  <si>
    <t xml:space="preserve">Anidride solforosa / solfiti</t>
  </si>
  <si>
    <t xml:space="preserve">Lupini</t>
  </si>
  <si>
    <t xml:space="preserve">Nichel (alto contenuto)</t>
  </si>
  <si>
    <t xml:space="preserve">FODMAP alto (colon irritabile)</t>
  </si>
  <si>
    <t xml:space="preserve">VALORI DEI FLAG: 0 = assente · 1 = presente · 2 = possibili tracce o dipende dal prodotto (es. avena non certificata, cioccolato).</t>
  </si>
  <si>
    <t xml:space="preserve">Glutine, latte, uova, pesce, crostacei, molluschi, frutta a guscio, arachidi, soia, sesamo, sedano, senape, solfiti, lupini = 14 allergeni del Reg. UE 1169/2011.</t>
  </si>
  <si>
    <t xml:space="preserve">Lattosio, nichel e FODMAP sono intolleranze/sensibilità, non allergeni di legge: utili per pazienti con intolleranza al lattosio, SNAS (nichel) e colon irritabile.</t>
  </si>
  <si>
    <t xml:space="preserve">Nichel: segnalati gli alimenti indicati come ad alto contenuto nelle principali liste cliniche (legumi, frutta secca, cacao, cereali integrali, pomodoro, spinaci, cavoli, funghi, asparagi, frutti di mare, conserve in scatola…).</t>
  </si>
  <si>
    <t xml:space="preserve">FODMAP: alto contenuto secondo le porzioni standard (riferimento Monash University). Il carico dipende dalla quantità.</t>
  </si>
  <si>
    <t xml:space="preserve">CONVENZIONI DEI DATI</t>
  </si>
  <si>
    <t xml:space="preserve">Tutti i valori sono per 100 g di parte edibile, nello "stato" indicato (crudo, secco, sgocciolato…). Per i liquidi usa g_per_ml per convertire i ml.</t>
  </si>
  <si>
    <t xml:space="preserve">Carboidrati = carboidrati DISPONIBILI (fibra esclusa), come nelle etichette UE. Dai dati USDA: carboidrati per differenza − fibra.</t>
  </si>
  <si>
    <t xml:space="preserve">Celle vuote = dato non disponibile o troppo variabile tra marche (prodotti commerciali): nel codice trattarle come "mancante", non come zero.</t>
  </si>
  <si>
    <t xml:space="preserve">kcal = valore della fonte; kcal_da_macro è un controllo (4/4/9 + 2 kcal/g di fibra): piccoli scostamenti sono normali tra fonti diverse.</t>
  </si>
  <si>
    <t xml:space="preserve">FONTI</t>
  </si>
  <si>
    <t xml:space="preserve">USDA FoodData Central – SR Legacy (https://fdc.nal.usda.gov) per la maggior parte dei micronutrienti e degli alimenti base.</t>
  </si>
  <si>
    <t xml:space="preserve">CREA – Tabelle di composizione degli alimenti (https://www.alimentinutrizione.it) per alimenti tipici italiani (carni, latticini, salumi, pesci locali, pane).</t>
  </si>
  <si>
    <t xml:space="preserve">Media etichette di prodotti commerciali italiani per alimenti di marca (cereali da colazione, gallette, pan bauletto, whey, barrette, dessert proteici…): verificare sempre l'etichetta del prodotto usato.</t>
  </si>
  <si>
    <t xml:space="preserve">I valori sono stati compilati da queste fonti di riferimento: prima di usarli in ambito clinico, verificare a campione le righe critiche sul database originale.</t>
  </si>
  <si>
    <t xml:space="preserve">colonna</t>
  </si>
  <si>
    <t xml:space="preserve">lettera</t>
  </si>
  <si>
    <t xml:space="preserve">etichetta</t>
  </si>
  <si>
    <t xml:space="preserve">unità</t>
  </si>
  <si>
    <t xml:space="preserve">descrizione</t>
  </si>
  <si>
    <t xml:space="preserve">A</t>
  </si>
  <si>
    <t xml:space="preserve">Nome dell'alimento</t>
  </si>
  <si>
    <t xml:space="preserve">testo</t>
  </si>
  <si>
    <t xml:space="preserve">B</t>
  </si>
  <si>
    <t xml:space="preserve">Energia</t>
  </si>
  <si>
    <t xml:space="preserve">C</t>
  </si>
  <si>
    <t xml:space="preserve">Carboidrati disponibili</t>
  </si>
  <si>
    <t xml:space="preserve">g</t>
  </si>
  <si>
    <t xml:space="preserve">Esclusa la fibra (convenzione UE / etichette italiane)</t>
  </si>
  <si>
    <t xml:space="preserve">D</t>
  </si>
  <si>
    <t xml:space="preserve">Proteine</t>
  </si>
  <si>
    <t xml:space="preserve">E</t>
  </si>
  <si>
    <t xml:space="preserve">Grassi totali</t>
  </si>
  <si>
    <t xml:space="preserve">F</t>
  </si>
  <si>
    <t xml:space="preserve">Fibra</t>
  </si>
  <si>
    <t xml:space="preserve">Fibra alimentare totale</t>
  </si>
  <si>
    <t xml:space="preserve">G</t>
  </si>
  <si>
    <t xml:space="preserve">Zuccheri</t>
  </si>
  <si>
    <t xml:space="preserve">Zuccheri semplici totali (quota dei carboidrati)</t>
  </si>
  <si>
    <t xml:space="preserve">H</t>
  </si>
  <si>
    <t xml:space="preserve">Grassi saturi</t>
  </si>
  <si>
    <t xml:space="preserve">Acidi grassi saturi</t>
  </si>
  <si>
    <t xml:space="preserve">I</t>
  </si>
  <si>
    <t xml:space="preserve">Grassi monoinsaturi</t>
  </si>
  <si>
    <t xml:space="preserve">Acidi grassi monoinsaturi</t>
  </si>
  <si>
    <t xml:space="preserve">J</t>
  </si>
  <si>
    <t xml:space="preserve">Grassi polinsaturi</t>
  </si>
  <si>
    <t xml:space="preserve">Acidi grassi polinsaturi</t>
  </si>
  <si>
    <t xml:space="preserve">K</t>
  </si>
  <si>
    <t xml:space="preserve">Colesterolo</t>
  </si>
  <si>
    <t xml:space="preserve">mg</t>
  </si>
  <si>
    <t xml:space="preserve">L</t>
  </si>
  <si>
    <t xml:space="preserve">Sodio</t>
  </si>
  <si>
    <t xml:space="preserve">Sale (g) = sodio (mg) × 2,5 / 1000</t>
  </si>
  <si>
    <t xml:space="preserve">M</t>
  </si>
  <si>
    <t xml:space="preserve">Potassio</t>
  </si>
  <si>
    <t xml:space="preserve">N</t>
  </si>
  <si>
    <t xml:space="preserve">Calcio</t>
  </si>
  <si>
    <t xml:space="preserve">O</t>
  </si>
  <si>
    <t xml:space="preserve">Fosforo</t>
  </si>
  <si>
    <t xml:space="preserve">P</t>
  </si>
  <si>
    <t xml:space="preserve">Magnesio</t>
  </si>
  <si>
    <t xml:space="preserve">Q</t>
  </si>
  <si>
    <t xml:space="preserve">Ferro</t>
  </si>
  <si>
    <t xml:space="preserve">R</t>
  </si>
  <si>
    <t xml:space="preserve">Zinco</t>
  </si>
  <si>
    <t xml:space="preserve">S</t>
  </si>
  <si>
    <t xml:space="preserve">Vitamina A</t>
  </si>
  <si>
    <t xml:space="preserve">µg RAE</t>
  </si>
  <si>
    <t xml:space="preserve">Retinolo equivalenti (attività)</t>
  </si>
  <si>
    <t xml:space="preserve">T</t>
  </si>
  <si>
    <t xml:space="preserve">Vitamina C</t>
  </si>
  <si>
    <t xml:space="preserve">U</t>
  </si>
  <si>
    <t xml:space="preserve">Vitamina D</t>
  </si>
  <si>
    <t xml:space="preserve">µg</t>
  </si>
  <si>
    <t xml:space="preserve">1 µg = 40 UI</t>
  </si>
  <si>
    <t xml:space="preserve">V</t>
  </si>
  <si>
    <t xml:space="preserve">Vitamina E</t>
  </si>
  <si>
    <t xml:space="preserve">Alfa-tocoferolo</t>
  </si>
  <si>
    <t xml:space="preserve">W</t>
  </si>
  <si>
    <t xml:space="preserve">Vitamina B1 (tiamina)</t>
  </si>
  <si>
    <t xml:space="preserve">X</t>
  </si>
  <si>
    <t xml:space="preserve">Vitamina B2 (riboflavina)</t>
  </si>
  <si>
    <t xml:space="preserve">Y</t>
  </si>
  <si>
    <t xml:space="preserve">Vitamina B3 (niacina)</t>
  </si>
  <si>
    <t xml:space="preserve">Z</t>
  </si>
  <si>
    <t xml:space="preserve">Vitamina B6</t>
  </si>
  <si>
    <t xml:space="preserve">AA</t>
  </si>
  <si>
    <t xml:space="preserve">Folati</t>
  </si>
  <si>
    <t xml:space="preserve">µg DFE</t>
  </si>
  <si>
    <t xml:space="preserve">Folati alimentari</t>
  </si>
  <si>
    <t xml:space="preserve">AB</t>
  </si>
  <si>
    <t xml:space="preserve">Vitamina B12</t>
  </si>
  <si>
    <t xml:space="preserve">AC</t>
  </si>
  <si>
    <t xml:space="preserve">Categoria</t>
  </si>
  <si>
    <t xml:space="preserve">Gruppo alimentare (vedi foglio Categorie)</t>
  </si>
  <si>
    <t xml:space="preserve">AD</t>
  </si>
  <si>
    <t xml:space="preserve">ID univoco</t>
  </si>
  <si>
    <t xml:space="preserve">Chiave stabile per il codice (snake_case)</t>
  </si>
  <si>
    <t xml:space="preserve">AE</t>
  </si>
  <si>
    <t xml:space="preserve">Ruolo nel piano</t>
  </si>
  <si>
    <t xml:space="preserve">Macro prevalente: proteine / carboidrati / grassi / misto / verdura / frutta / condimento</t>
  </si>
  <si>
    <t xml:space="preserve">AF</t>
  </si>
  <si>
    <t xml:space="preserve">Stato di pesatura</t>
  </si>
  <si>
    <t xml:space="preserve">crudo, secco, cotto, sgocciolato, pronto, liquido, polvere, stagionato, ammollato</t>
  </si>
  <si>
    <t xml:space="preserve">AG</t>
  </si>
  <si>
    <t xml:space="preserve">Densità</t>
  </si>
  <si>
    <t xml:space="preserve">g/ml</t>
  </si>
  <si>
    <t xml:space="preserve">Per convertire ml in g (solo liquidi)</t>
  </si>
  <si>
    <t xml:space="preserve">AH</t>
  </si>
  <si>
    <t xml:space="preserve">Peso unità</t>
  </si>
  <si>
    <t xml:space="preserve">Peso di 1 unità (uovo, galletta, fetta…)</t>
  </si>
  <si>
    <t xml:space="preserve">AI</t>
  </si>
  <si>
    <t xml:space="preserve">Descrizione unità</t>
  </si>
  <si>
    <t xml:space="preserve">AJ</t>
  </si>
  <si>
    <t xml:space="preserve">flag</t>
  </si>
  <si>
    <t xml:space="preserve">0 = assente · 1 = presente · 2 = possibili tracce / dipende dal prodotto</t>
  </si>
  <si>
    <t xml:space="preserve">AK</t>
  </si>
  <si>
    <t xml:space="preserve">AL</t>
  </si>
  <si>
    <t xml:space="preserve">AM</t>
  </si>
  <si>
    <t xml:space="preserve">AN</t>
  </si>
  <si>
    <t xml:space="preserve">AO</t>
  </si>
  <si>
    <t xml:space="preserve">AP</t>
  </si>
  <si>
    <t xml:space="preserve">AQ</t>
  </si>
  <si>
    <t xml:space="preserve">AR</t>
  </si>
  <si>
    <t xml:space="preserve">AS</t>
  </si>
  <si>
    <t xml:space="preserve">AT</t>
  </si>
  <si>
    <t xml:space="preserve">AU</t>
  </si>
  <si>
    <t xml:space="preserve">AV</t>
  </si>
  <si>
    <t xml:space="preserve">AW</t>
  </si>
  <si>
    <t xml:space="preserve">AX</t>
  </si>
  <si>
    <t xml:space="preserve">AY</t>
  </si>
  <si>
    <t xml:space="preserve">AZ</t>
  </si>
  <si>
    <t xml:space="preserve">BA</t>
  </si>
  <si>
    <t xml:space="preserve">Allergeni/flag (sintesi)</t>
  </si>
  <si>
    <t xml:space="preserve">Calcolato da formula sui flag</t>
  </si>
  <si>
    <t xml:space="preserve">BB</t>
  </si>
  <si>
    <t xml:space="preserve">Kcal ricalcolate</t>
  </si>
  <si>
    <t xml:space="preserve">Controllo: 4×carb + 4×prot + 9×grassi + 2×fibra</t>
  </si>
  <si>
    <t xml:space="preserve">BC</t>
  </si>
  <si>
    <t xml:space="preserve">Fonte dati</t>
  </si>
  <si>
    <t xml:space="preserve">BD</t>
  </si>
  <si>
    <t xml:space="preserve">Note</t>
  </si>
  <si>
    <t xml:space="preserve">ordine</t>
  </si>
  <si>
    <t xml:space="preserve">id_categoria</t>
  </si>
  <si>
    <t xml:space="preserve">n_alimenti</t>
  </si>
  <si>
    <t xml:space="preserve">latte_e_latticini</t>
  </si>
  <si>
    <t xml:space="preserve">uova</t>
  </si>
  <si>
    <t xml:space="preserve">carni</t>
  </si>
  <si>
    <t xml:space="preserve">salumi</t>
  </si>
  <si>
    <t xml:space="preserve">pesce</t>
  </si>
  <si>
    <t xml:space="preserve">crostacei_e_molluschi</t>
  </si>
  <si>
    <t xml:space="preserve">proteine_vegetali</t>
  </si>
  <si>
    <t xml:space="preserve">legumi</t>
  </si>
  <si>
    <t xml:space="preserve">cereali_e_farinacei</t>
  </si>
  <si>
    <t xml:space="preserve">tuberi</t>
  </si>
  <si>
    <t xml:space="preserve">frutta_secca_e_semi</t>
  </si>
  <si>
    <t xml:space="preserve">grassi_e_condimenti</t>
  </si>
  <si>
    <t xml:space="preserve">dolci_e_varie</t>
  </si>
  <si>
    <t xml:space="preserve">integratori_e_prodotti_proteici</t>
  </si>
  <si>
    <t xml:space="preserve">verdure</t>
  </si>
  <si>
    <t xml:space="preserve">bevande_vegetali</t>
  </si>
  <si>
    <t xml:space="preserve">Totale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</si>
</sst>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"/>
    <numFmt numFmtId="167" formatCode="0.0#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</fonts>
  <fills count="22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C6EFCE"/>
        <bgColor rgb="FFD9D9D9"/>
      </patternFill>
    </fill>
    <fill>
      <patternFill patternType="solid">
        <fgColor rgb="FFF4B183"/>
        <bgColor rgb="FFE2C9A6"/>
      </patternFill>
    </fill>
    <fill>
      <patternFill patternType="solid">
        <fgColor rgb="FFFBE2D5"/>
        <bgColor rgb="FFF2F2F2"/>
      </patternFill>
    </fill>
    <fill>
      <patternFill patternType="solid">
        <fgColor rgb="FFBDD7EE"/>
        <bgColor rgb="FFD9D2E9"/>
      </patternFill>
    </fill>
    <fill>
      <patternFill patternType="solid">
        <fgColor rgb="FF8EB4E3"/>
        <bgColor rgb="FF9FD8D0"/>
      </patternFill>
    </fill>
    <fill>
      <patternFill patternType="solid">
        <fgColor rgb="FFF4CCCC"/>
        <bgColor rgb="FFE2C9A6"/>
      </patternFill>
    </fill>
    <fill>
      <patternFill patternType="solid">
        <fgColor rgb="FFD9D2E9"/>
        <bgColor rgb="FFD9D9D9"/>
      </patternFill>
    </fill>
    <fill>
      <patternFill patternType="solid">
        <fgColor rgb="FFC9A27E"/>
        <bgColor rgb="FFF4B183"/>
      </patternFill>
    </fill>
    <fill>
      <patternFill patternType="solid">
        <fgColor rgb="FFE2C9A6"/>
        <bgColor rgb="FFF4CCCC"/>
      </patternFill>
    </fill>
    <fill>
      <patternFill patternType="solid">
        <fgColor rgb="FFA9D08E"/>
        <bgColor rgb="FF9FD8D0"/>
      </patternFill>
    </fill>
    <fill>
      <patternFill patternType="solid">
        <fgColor rgb="FFD0CECE"/>
        <bgColor rgb="FFD9D9D9"/>
      </patternFill>
    </fill>
    <fill>
      <patternFill patternType="solid">
        <fgColor rgb="FF9FD8D0"/>
        <bgColor rgb="FFBDD7EE"/>
      </patternFill>
    </fill>
    <fill>
      <patternFill patternType="solid">
        <fgColor rgb="FFFFD966"/>
        <bgColor rgb="FFE2C9A6"/>
      </patternFill>
    </fill>
    <fill>
      <patternFill patternType="solid">
        <fgColor rgb="FFBFBFBF"/>
        <bgColor rgb="FFD0CECE"/>
      </patternFill>
    </fill>
    <fill>
      <patternFill patternType="solid">
        <fgColor rgb="FFE4C1F9"/>
        <bgColor rgb="FFD9D2E9"/>
      </patternFill>
    </fill>
    <fill>
      <patternFill patternType="solid">
        <fgColor rgb="FFFFFF00"/>
        <bgColor rgb="FFFFD966"/>
      </patternFill>
    </fill>
    <fill>
      <patternFill patternType="solid">
        <fgColor rgb="FFFF99CC"/>
        <bgColor rgb="FFF4B183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medium">
        <color rgb="FF1F3864"/>
      </top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fgColor rgb="FFF4B183"/>
          <bgColor rgb="FF000000"/>
        </patternFill>
      </fill>
    </dxf>
    <dxf>
      <fill>
        <patternFill patternType="solid">
          <fgColor rgb="FFFBE2D5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8EB4E3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D9D2E9"/>
          <bgColor rgb="FF000000"/>
        </patternFill>
      </fill>
    </dxf>
    <dxf>
      <fill>
        <patternFill patternType="solid">
          <fgColor rgb="FFC9A27E"/>
          <bgColor rgb="FF000000"/>
        </patternFill>
      </fill>
    </dxf>
    <dxf>
      <fill>
        <patternFill patternType="solid">
          <fgColor rgb="FFE2C9A6"/>
          <bgColor rgb="FF000000"/>
        </patternFill>
      </fill>
    </dxf>
    <dxf>
      <fill>
        <patternFill patternType="solid">
          <fgColor rgb="FFA9D08E"/>
          <bgColor rgb="FF000000"/>
        </patternFill>
      </fill>
    </dxf>
    <dxf>
      <fill>
        <patternFill patternType="solid">
          <fgColor rgb="FFD0CECE"/>
          <bgColor rgb="FF000000"/>
        </patternFill>
      </fill>
    </dxf>
    <dxf>
      <fill>
        <patternFill patternType="solid">
          <fgColor rgb="FF9FD8D0"/>
          <bgColor rgb="FF000000"/>
        </patternFill>
      </fill>
    </dxf>
    <dxf>
      <fill>
        <patternFill patternType="solid">
          <fgColor rgb="FFFFD966"/>
          <bgColor rgb="FF000000"/>
        </patternFill>
      </fill>
    </dxf>
    <dxf>
      <fill>
        <patternFill patternType="solid">
          <fgColor rgb="FFBFBFBF"/>
          <bgColor rgb="FF000000"/>
        </patternFill>
      </fill>
    </dxf>
    <dxf>
      <fill>
        <patternFill patternType="solid">
          <fgColor rgb="FFE4C1F9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99CC"/>
          <bgColor rgb="FF000000"/>
        </patternFill>
      </fill>
    </dxf>
    <dxf>
      <font>
        <b val="1"/>
      </font>
      <fill>
        <patternFill>
          <bgColor rgb="FFC6EFCE"/>
        </patternFill>
      </fill>
    </dxf>
    <dxf>
      <font>
        <i val="1"/>
        <color rgb="FF7F7F7F"/>
      </font>
      <fill>
        <patternFill>
          <bgColor rgb="FFC6EFCE"/>
        </patternFill>
      </fill>
    </dxf>
    <dxf>
      <font>
        <b val="1"/>
      </font>
      <fill>
        <patternFill>
          <bgColor rgb="FFF4B183"/>
        </patternFill>
      </fill>
    </dxf>
    <dxf>
      <font>
        <i val="1"/>
        <color rgb="FF7F7F7F"/>
      </font>
      <fill>
        <patternFill>
          <bgColor rgb="FFF4B183"/>
        </patternFill>
      </fill>
    </dxf>
    <dxf>
      <font>
        <b val="1"/>
      </font>
      <fill>
        <patternFill>
          <bgColor rgb="FFFBE2D5"/>
        </patternFill>
      </fill>
    </dxf>
    <dxf>
      <font>
        <i val="1"/>
        <color rgb="FF7F7F7F"/>
      </font>
      <fill>
        <patternFill>
          <bgColor rgb="FFFBE2D5"/>
        </patternFill>
      </fill>
    </dxf>
    <dxf>
      <font>
        <b val="1"/>
      </font>
      <fill>
        <patternFill>
          <bgColor rgb="FFBDD7EE"/>
        </patternFill>
      </fill>
    </dxf>
    <dxf>
      <font>
        <i val="1"/>
        <color rgb="FF7F7F7F"/>
      </font>
      <fill>
        <patternFill>
          <bgColor rgb="FFBDD7EE"/>
        </patternFill>
      </fill>
    </dxf>
    <dxf>
      <font>
        <b val="1"/>
      </font>
      <fill>
        <patternFill>
          <bgColor rgb="FF8EB4E3"/>
        </patternFill>
      </fill>
    </dxf>
    <dxf>
      <font>
        <i val="1"/>
        <color rgb="FF7F7F7F"/>
      </font>
      <fill>
        <patternFill>
          <bgColor rgb="FF8EB4E3"/>
        </patternFill>
      </fill>
    </dxf>
    <dxf>
      <font>
        <b val="1"/>
      </font>
      <fill>
        <patternFill>
          <bgColor rgb="FFF4CCCC"/>
        </patternFill>
      </fill>
    </dxf>
    <dxf>
      <font>
        <i val="1"/>
        <color rgb="FF7F7F7F"/>
      </font>
      <fill>
        <patternFill>
          <bgColor rgb="FFF4CCCC"/>
        </patternFill>
      </fill>
    </dxf>
    <dxf>
      <font>
        <b val="1"/>
      </font>
      <fill>
        <patternFill>
          <bgColor rgb="FFD9D2E9"/>
        </patternFill>
      </fill>
    </dxf>
    <dxf>
      <font>
        <i val="1"/>
        <color rgb="FF7F7F7F"/>
      </font>
      <fill>
        <patternFill>
          <bgColor rgb="FFD9D2E9"/>
        </patternFill>
      </fill>
    </dxf>
    <dxf>
      <font>
        <b val="1"/>
      </font>
      <fill>
        <patternFill>
          <bgColor rgb="FFC9A27E"/>
        </patternFill>
      </fill>
    </dxf>
    <dxf>
      <font>
        <i val="1"/>
        <color rgb="FF7F7F7F"/>
      </font>
      <fill>
        <patternFill>
          <bgColor rgb="FFC9A27E"/>
        </patternFill>
      </fill>
    </dxf>
    <dxf>
      <font>
        <b val="1"/>
      </font>
      <fill>
        <patternFill>
          <bgColor rgb="FFE2C9A6"/>
        </patternFill>
      </fill>
    </dxf>
    <dxf>
      <font>
        <i val="1"/>
        <color rgb="FF7F7F7F"/>
      </font>
      <fill>
        <patternFill>
          <bgColor rgb="FFE2C9A6"/>
        </patternFill>
      </fill>
    </dxf>
    <dxf>
      <font>
        <b val="1"/>
      </font>
      <fill>
        <patternFill>
          <bgColor rgb="FFA9D08E"/>
        </patternFill>
      </fill>
    </dxf>
    <dxf>
      <font>
        <i val="1"/>
        <color rgb="FF7F7F7F"/>
      </font>
      <fill>
        <patternFill>
          <bgColor rgb="FFA9D08E"/>
        </patternFill>
      </fill>
    </dxf>
    <dxf>
      <font>
        <b val="1"/>
      </font>
      <fill>
        <patternFill>
          <bgColor rgb="FFD0CECE"/>
        </patternFill>
      </fill>
    </dxf>
    <dxf>
      <font>
        <i val="1"/>
        <color rgb="FF7F7F7F"/>
      </font>
      <fill>
        <patternFill>
          <bgColor rgb="FFD0CECE"/>
        </patternFill>
      </fill>
    </dxf>
    <dxf>
      <font>
        <b val="1"/>
      </font>
      <fill>
        <patternFill>
          <bgColor rgb="FF9FD8D0"/>
        </patternFill>
      </fill>
    </dxf>
    <dxf>
      <font>
        <i val="1"/>
        <color rgb="FF7F7F7F"/>
      </font>
      <fill>
        <patternFill>
          <bgColor rgb="FF9FD8D0"/>
        </patternFill>
      </fill>
    </dxf>
    <dxf>
      <font>
        <b val="1"/>
      </font>
      <fill>
        <patternFill>
          <bgColor rgb="FFFFD966"/>
        </patternFill>
      </fill>
    </dxf>
    <dxf>
      <font>
        <i val="1"/>
        <color rgb="FF7F7F7F"/>
      </font>
      <fill>
        <patternFill>
          <bgColor rgb="FFFFD966"/>
        </patternFill>
      </fill>
    </dxf>
    <dxf>
      <font>
        <b val="1"/>
      </font>
      <fill>
        <patternFill>
          <bgColor rgb="FFBFBFBF"/>
        </patternFill>
      </fill>
    </dxf>
    <dxf>
      <font>
        <i val="1"/>
        <color rgb="FF7F7F7F"/>
      </font>
      <fill>
        <patternFill>
          <bgColor rgb="FFBFBFBF"/>
        </patternFill>
      </fill>
    </dxf>
    <dxf>
      <font>
        <b val="1"/>
      </font>
      <fill>
        <patternFill>
          <bgColor rgb="FFE4C1F9"/>
        </patternFill>
      </fill>
    </dxf>
    <dxf>
      <font>
        <i val="1"/>
        <color rgb="FF7F7F7F"/>
      </font>
      <fill>
        <patternFill>
          <bgColor rgb="FFE4C1F9"/>
        </patternFill>
      </fill>
    </dxf>
    <dxf>
      <font>
        <b val="1"/>
      </font>
      <fill>
        <patternFill>
          <bgColor rgb="FFFFFF00"/>
        </patternFill>
      </fill>
    </dxf>
    <dxf>
      <font>
        <i val="1"/>
        <color rgb="FF7F7F7F"/>
      </font>
      <fill>
        <patternFill>
          <bgColor rgb="FFFFFF00"/>
        </patternFill>
      </fill>
    </dxf>
    <dxf>
      <font>
        <b val="1"/>
      </font>
      <fill>
        <patternFill>
          <bgColor rgb="FFFF99CC"/>
        </patternFill>
      </fill>
    </dxf>
    <dxf>
      <font>
        <i val="1"/>
        <color rgb="FF7F7F7F"/>
      </font>
      <fill>
        <patternFill>
          <bgColor rgb="FFFF99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8EB4E3"/>
      <rgbColor rgb="FF993366"/>
      <rgbColor rgb="FFF2F2F2"/>
      <rgbColor rgb="FFBDD7EE"/>
      <rgbColor rgb="FF660066"/>
      <rgbColor rgb="FFF4B183"/>
      <rgbColor rgb="FF0066CC"/>
      <rgbColor rgb="FFD9D2E9"/>
      <rgbColor rgb="FF000080"/>
      <rgbColor rgb="FFFF00FF"/>
      <rgbColor rgb="FFF4CCCC"/>
      <rgbColor rgb="FF00FFFF"/>
      <rgbColor rgb="FF800080"/>
      <rgbColor rgb="FF800000"/>
      <rgbColor rgb="FF008080"/>
      <rgbColor rgb="FF0000FF"/>
      <rgbColor rgb="FF00CCFF"/>
      <rgbColor rgb="FFD9D9D9"/>
      <rgbColor rgb="FFC6EFCE"/>
      <rgbColor rgb="FFFBE2D5"/>
      <rgbColor rgb="FF9FD8D0"/>
      <rgbColor rgb="FFFF99CC"/>
      <rgbColor rgb="FFE4C1F9"/>
      <rgbColor rgb="FFE2C9A6"/>
      <rgbColor rgb="FF3366FF"/>
      <rgbColor rgb="FF33CCCC"/>
      <rgbColor rgb="FFA9D08E"/>
      <rgbColor rgb="FFFFD966"/>
      <rgbColor rgb="FFD0CECE"/>
      <rgbColor rgb="FFFF6600"/>
      <rgbColor rgb="FF666699"/>
      <rgbColor rgb="FFC9A27E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D18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8" min="2" style="0" width="11"/>
    <col collapsed="false" customWidth="true" hidden="false" outlineLevel="0" max="29" min="29" style="0" width="26"/>
    <col collapsed="false" customWidth="true" hidden="false" outlineLevel="0" max="30" min="30" style="0" width="32"/>
    <col collapsed="false" customWidth="true" hidden="false" outlineLevel="0" max="32" min="31" style="0" width="12"/>
    <col collapsed="false" customWidth="true" hidden="false" outlineLevel="0" max="34" min="33" style="0" width="11"/>
    <col collapsed="false" customWidth="true" hidden="false" outlineLevel="0" max="35" min="35" style="0" width="26"/>
    <col collapsed="false" customWidth="true" hidden="false" outlineLevel="0" max="52" min="36" style="0" width="9"/>
    <col collapsed="false" customWidth="true" hidden="false" outlineLevel="0" max="53" min="53" style="0" width="34"/>
    <col collapsed="false" customWidth="true" hidden="false" outlineLevel="0" max="54" min="54" style="0" width="11"/>
    <col collapsed="false" customWidth="true" hidden="false" outlineLevel="0" max="55" min="55" style="0" width="40"/>
    <col collapsed="false" customWidth="true" hidden="false" outlineLevel="0" max="56" min="56" style="0" width="50"/>
  </cols>
  <sheetData>
    <row r="1" customFormat="false" ht="42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customFormat="false" ht="15" hidden="false" customHeight="false" outlineLevel="0" collapsed="false">
      <c r="A2" s="2" t="s">
        <v>56</v>
      </c>
      <c r="B2" s="3" t="n">
        <v>64</v>
      </c>
      <c r="C2" s="4" t="n">
        <v>4.8</v>
      </c>
      <c r="D2" s="4" t="n">
        <v>3.3</v>
      </c>
      <c r="E2" s="4" t="n">
        <v>3.6</v>
      </c>
      <c r="F2" s="5" t="n">
        <v>0</v>
      </c>
      <c r="G2" s="5" t="n">
        <v>4.8</v>
      </c>
      <c r="H2" s="5" t="n">
        <v>2.1</v>
      </c>
      <c r="I2" s="5" t="n">
        <v>1</v>
      </c>
      <c r="J2" s="5" t="n">
        <v>0.1</v>
      </c>
      <c r="K2" s="5" t="n">
        <v>11</v>
      </c>
      <c r="L2" s="5" t="n">
        <v>43</v>
      </c>
      <c r="M2" s="5" t="n">
        <v>150</v>
      </c>
      <c r="N2" s="5" t="n">
        <v>119</v>
      </c>
      <c r="O2" s="5" t="n">
        <v>93</v>
      </c>
      <c r="P2" s="5" t="n">
        <v>11</v>
      </c>
      <c r="Q2" s="5" t="n">
        <v>0.03</v>
      </c>
      <c r="R2" s="5" t="n">
        <v>0.4</v>
      </c>
      <c r="S2" s="5" t="n">
        <v>37</v>
      </c>
      <c r="T2" s="5" t="n">
        <v>1</v>
      </c>
      <c r="U2" s="5" t="n">
        <v>0.1</v>
      </c>
      <c r="V2" s="5" t="n">
        <v>0.07</v>
      </c>
      <c r="W2" s="5" t="n">
        <v>0.04</v>
      </c>
      <c r="X2" s="5" t="n">
        <v>0.18</v>
      </c>
      <c r="Y2" s="5" t="n">
        <v>0.09</v>
      </c>
      <c r="Z2" s="5" t="n">
        <v>0.04</v>
      </c>
      <c r="AA2" s="5" t="n">
        <v>5</v>
      </c>
      <c r="AB2" s="5" t="n">
        <v>0.4</v>
      </c>
      <c r="AC2" s="6" t="s">
        <v>57</v>
      </c>
      <c r="AD2" s="6" t="s">
        <v>58</v>
      </c>
      <c r="AE2" s="6" t="s">
        <v>59</v>
      </c>
      <c r="AF2" s="6" t="s">
        <v>60</v>
      </c>
      <c r="AG2" s="6" t="n">
        <v>1.03</v>
      </c>
      <c r="AH2" s="6"/>
      <c r="AI2" s="6"/>
      <c r="AJ2" s="7" t="n">
        <v>0</v>
      </c>
      <c r="AK2" s="7" t="n">
        <v>1</v>
      </c>
      <c r="AL2" s="7" t="n">
        <v>1</v>
      </c>
      <c r="AM2" s="7" t="n">
        <v>0</v>
      </c>
      <c r="AN2" s="7" t="n">
        <v>0</v>
      </c>
      <c r="AO2" s="7" t="n">
        <v>0</v>
      </c>
      <c r="AP2" s="7" t="n">
        <v>0</v>
      </c>
      <c r="AQ2" s="7" t="n">
        <v>0</v>
      </c>
      <c r="AR2" s="7" t="n">
        <v>0</v>
      </c>
      <c r="AS2" s="7" t="n">
        <v>0</v>
      </c>
      <c r="AT2" s="7" t="n">
        <v>0</v>
      </c>
      <c r="AU2" s="7" t="n">
        <v>0</v>
      </c>
      <c r="AV2" s="7" t="n">
        <v>0</v>
      </c>
      <c r="AW2" s="7" t="n">
        <v>0</v>
      </c>
      <c r="AX2" s="7" t="n">
        <v>0</v>
      </c>
      <c r="AY2" s="7" t="n">
        <v>0</v>
      </c>
      <c r="AZ2" s="7" t="n">
        <v>1</v>
      </c>
      <c r="BA2" s="6" t="str">
        <f aca="false">_xlfn.TEXTJOIN(", ",TRUE(),IF(AJ2=1,"glutine",IF(AJ2=2,"glutine (tracce)","")),IF(AK2=1,"latte",IF(AK2=2,"latte (tracce)","")),IF(AL2=1,"lattosio",IF(AL2=2,"lattosio (tracce)","")),IF(AM2=1,"uova",IF(AM2=2,"uova (tracce)","")),IF(AN2=1,"pesce",IF(AN2=2,"pesce (tracce)","")),IF(AO2=1,"crostacei",IF(AO2=2,"crostacei (tracce)","")),IF(AP2=1,"molluschi",IF(AP2=2,"molluschi (tracce)","")),IF(AQ2=1,"frutta a guscio",IF(AQ2=2,"frutta a guscio (tracce)","")),IF(AR2=1,"arachidi",IF(AR2=2,"arachidi (tracce)","")),IF(AS2=1,"soia",IF(AS2=2,"soia (tracce)","")),IF(AT2=1,"sesamo",IF(AT2=2,"sesamo (tracce)","")),IF(AU2=1,"sedano",IF(AU2=2,"sedano (tracce)","")),IF(AV2=1,"senape",IF(AV2=2,"senape (tracce)","")),IF(AW2=1,"solfiti",IF(AW2=2,"solfiti (tracce)","")),IF(AX2=1,"lupini",IF(AX2=2,"lupini (tracce)","")),IF(AY2=1,"nichel",IF(AY2=2,"nichel (tracce)","")),IF(AZ2=1,"FODMAP",IF(AZ2=2,"FODMAP (tracce)","")))</f>
        <v>latte, lattosio, FODMAP</v>
      </c>
      <c r="BB2" s="6" t="n">
        <f aca="false">ROUND(4*C2+4*D2+9*E2+2*N(F2),0)</f>
        <v>65</v>
      </c>
      <c r="BC2" s="6" t="s">
        <v>61</v>
      </c>
      <c r="BD2" s="6"/>
    </row>
    <row r="3" customFormat="false" ht="15" hidden="false" customHeight="false" outlineLevel="0" collapsed="false">
      <c r="A3" s="8" t="s">
        <v>62</v>
      </c>
      <c r="B3" s="9" t="n">
        <v>46</v>
      </c>
      <c r="C3" s="10" t="n">
        <v>5</v>
      </c>
      <c r="D3" s="10" t="n">
        <v>3.5</v>
      </c>
      <c r="E3" s="10" t="n">
        <v>1.5</v>
      </c>
      <c r="F3" s="11" t="n">
        <v>0</v>
      </c>
      <c r="G3" s="11" t="n">
        <v>5</v>
      </c>
      <c r="H3" s="11" t="n">
        <v>1</v>
      </c>
      <c r="I3" s="11" t="n">
        <v>0.4</v>
      </c>
      <c r="J3" s="11" t="n">
        <v>0.06</v>
      </c>
      <c r="K3" s="11" t="n">
        <v>7</v>
      </c>
      <c r="L3" s="11" t="n">
        <v>44</v>
      </c>
      <c r="M3" s="11" t="n">
        <v>150</v>
      </c>
      <c r="N3" s="11" t="n">
        <v>120</v>
      </c>
      <c r="O3" s="11" t="n">
        <v>94</v>
      </c>
      <c r="P3" s="11" t="n">
        <v>11</v>
      </c>
      <c r="Q3" s="11" t="n">
        <v>0.03</v>
      </c>
      <c r="R3" s="11" t="n">
        <v>0.4</v>
      </c>
      <c r="S3" s="11" t="n">
        <v>18</v>
      </c>
      <c r="T3" s="11" t="n">
        <v>1</v>
      </c>
      <c r="U3" s="11" t="n">
        <v>0.03</v>
      </c>
      <c r="V3" s="11" t="n">
        <v>0.04</v>
      </c>
      <c r="W3" s="11" t="n">
        <v>0.04</v>
      </c>
      <c r="X3" s="11" t="n">
        <v>0.18</v>
      </c>
      <c r="Y3" s="11" t="n">
        <v>0.09</v>
      </c>
      <c r="Z3" s="11" t="n">
        <v>0.04</v>
      </c>
      <c r="AA3" s="11" t="n">
        <v>5</v>
      </c>
      <c r="AB3" s="11" t="n">
        <v>0.4</v>
      </c>
      <c r="AC3" s="12" t="s">
        <v>57</v>
      </c>
      <c r="AD3" s="12" t="s">
        <v>63</v>
      </c>
      <c r="AE3" s="12" t="s">
        <v>59</v>
      </c>
      <c r="AF3" s="12" t="s">
        <v>60</v>
      </c>
      <c r="AG3" s="12" t="n">
        <v>1.03</v>
      </c>
      <c r="AH3" s="12"/>
      <c r="AI3" s="12"/>
      <c r="AJ3" s="13" t="n">
        <v>0</v>
      </c>
      <c r="AK3" s="13" t="n">
        <v>1</v>
      </c>
      <c r="AL3" s="13" t="n">
        <v>1</v>
      </c>
      <c r="AM3" s="13" t="n">
        <v>0</v>
      </c>
      <c r="AN3" s="13" t="n">
        <v>0</v>
      </c>
      <c r="AO3" s="13" t="n">
        <v>0</v>
      </c>
      <c r="AP3" s="13" t="n">
        <v>0</v>
      </c>
      <c r="AQ3" s="13" t="n">
        <v>0</v>
      </c>
      <c r="AR3" s="13" t="n">
        <v>0</v>
      </c>
      <c r="AS3" s="13" t="n">
        <v>0</v>
      </c>
      <c r="AT3" s="13" t="n">
        <v>0</v>
      </c>
      <c r="AU3" s="13" t="n">
        <v>0</v>
      </c>
      <c r="AV3" s="13" t="n">
        <v>0</v>
      </c>
      <c r="AW3" s="13" t="n">
        <v>0</v>
      </c>
      <c r="AX3" s="13" t="n">
        <v>0</v>
      </c>
      <c r="AY3" s="13" t="n">
        <v>0</v>
      </c>
      <c r="AZ3" s="13" t="n">
        <v>1</v>
      </c>
      <c r="BA3" s="12" t="str">
        <f aca="false">_xlfn.TEXTJOIN(", ",TRUE(),IF(AJ3=1,"glutine",IF(AJ3=2,"glutine (tracce)","")),IF(AK3=1,"latte",IF(AK3=2,"latte (tracce)","")),IF(AL3=1,"lattosio",IF(AL3=2,"lattosio (tracce)","")),IF(AM3=1,"uova",IF(AM3=2,"uova (tracce)","")),IF(AN3=1,"pesce",IF(AN3=2,"pesce (tracce)","")),IF(AO3=1,"crostacei",IF(AO3=2,"crostacei (tracce)","")),IF(AP3=1,"molluschi",IF(AP3=2,"molluschi (tracce)","")),IF(AQ3=1,"frutta a guscio",IF(AQ3=2,"frutta a guscio (tracce)","")),IF(AR3=1,"arachidi",IF(AR3=2,"arachidi (tracce)","")),IF(AS3=1,"soia",IF(AS3=2,"soia (tracce)","")),IF(AT3=1,"sesamo",IF(AT3=2,"sesamo (tracce)","")),IF(AU3=1,"sedano",IF(AU3=2,"sedano (tracce)","")),IF(AV3=1,"senape",IF(AV3=2,"senape (tracce)","")),IF(AW3=1,"solfiti",IF(AW3=2,"solfiti (tracce)","")),IF(AX3=1,"lupini",IF(AX3=2,"lupini (tracce)","")),IF(AY3=1,"nichel",IF(AY3=2,"nichel (tracce)","")),IF(AZ3=1,"FODMAP",IF(AZ3=2,"FODMAP (tracce)","")))</f>
        <v>latte, lattosio, FODMAP</v>
      </c>
      <c r="BB3" s="12" t="n">
        <f aca="false">ROUND(4*C3+4*D3+9*E3+2*N(F3),0)</f>
        <v>48</v>
      </c>
      <c r="BC3" s="12" t="s">
        <v>61</v>
      </c>
      <c r="BD3" s="12"/>
    </row>
    <row r="4" customFormat="false" ht="15" hidden="false" customHeight="false" outlineLevel="0" collapsed="false">
      <c r="A4" s="8" t="s">
        <v>64</v>
      </c>
      <c r="B4" s="9" t="n">
        <v>34</v>
      </c>
      <c r="C4" s="10" t="n">
        <v>5</v>
      </c>
      <c r="D4" s="10" t="n">
        <v>3.4</v>
      </c>
      <c r="E4" s="10" t="n">
        <v>0.2</v>
      </c>
      <c r="F4" s="11" t="n">
        <v>0</v>
      </c>
      <c r="G4" s="11" t="n">
        <v>5</v>
      </c>
      <c r="H4" s="11" t="n">
        <v>0.1</v>
      </c>
      <c r="I4" s="11" t="n">
        <v>0.05</v>
      </c>
      <c r="J4" s="11" t="n">
        <v>0.01</v>
      </c>
      <c r="K4" s="11" t="n">
        <v>2</v>
      </c>
      <c r="L4" s="11" t="n">
        <v>42</v>
      </c>
      <c r="M4" s="11" t="n">
        <v>156</v>
      </c>
      <c r="N4" s="11" t="n">
        <v>122</v>
      </c>
      <c r="O4" s="11" t="n">
        <v>101</v>
      </c>
      <c r="P4" s="11" t="n">
        <v>11</v>
      </c>
      <c r="Q4" s="11" t="n">
        <v>0.03</v>
      </c>
      <c r="R4" s="11" t="n">
        <v>0.4</v>
      </c>
      <c r="S4" s="11" t="n">
        <v>1</v>
      </c>
      <c r="T4" s="11" t="n">
        <v>1</v>
      </c>
      <c r="U4" s="11" t="n">
        <v>0</v>
      </c>
      <c r="V4" s="11" t="n">
        <v>0.01</v>
      </c>
      <c r="W4" s="11" t="n">
        <v>0.04</v>
      </c>
      <c r="X4" s="11" t="n">
        <v>0.18</v>
      </c>
      <c r="Y4" s="11" t="n">
        <v>0.09</v>
      </c>
      <c r="Z4" s="11" t="n">
        <v>0.04</v>
      </c>
      <c r="AA4" s="11" t="n">
        <v>5</v>
      </c>
      <c r="AB4" s="11" t="n">
        <v>0.5</v>
      </c>
      <c r="AC4" s="12" t="s">
        <v>57</v>
      </c>
      <c r="AD4" s="12" t="s">
        <v>65</v>
      </c>
      <c r="AE4" s="12" t="s">
        <v>66</v>
      </c>
      <c r="AF4" s="12" t="s">
        <v>60</v>
      </c>
      <c r="AG4" s="12" t="n">
        <v>1.03</v>
      </c>
      <c r="AH4" s="12"/>
      <c r="AI4" s="12"/>
      <c r="AJ4" s="13" t="n">
        <v>0</v>
      </c>
      <c r="AK4" s="13" t="n">
        <v>1</v>
      </c>
      <c r="AL4" s="13" t="n">
        <v>1</v>
      </c>
      <c r="AM4" s="13" t="n">
        <v>0</v>
      </c>
      <c r="AN4" s="13" t="n">
        <v>0</v>
      </c>
      <c r="AO4" s="13" t="n">
        <v>0</v>
      </c>
      <c r="AP4" s="13" t="n">
        <v>0</v>
      </c>
      <c r="AQ4" s="13" t="n">
        <v>0</v>
      </c>
      <c r="AR4" s="13" t="n">
        <v>0</v>
      </c>
      <c r="AS4" s="13" t="n">
        <v>0</v>
      </c>
      <c r="AT4" s="13" t="n">
        <v>0</v>
      </c>
      <c r="AU4" s="13" t="n">
        <v>0</v>
      </c>
      <c r="AV4" s="13" t="n">
        <v>0</v>
      </c>
      <c r="AW4" s="13" t="n">
        <v>0</v>
      </c>
      <c r="AX4" s="13" t="n">
        <v>0</v>
      </c>
      <c r="AY4" s="13" t="n">
        <v>0</v>
      </c>
      <c r="AZ4" s="13" t="n">
        <v>1</v>
      </c>
      <c r="BA4" s="12" t="str">
        <f aca="false">_xlfn.TEXTJOIN(", ",TRUE(),IF(AJ4=1,"glutine",IF(AJ4=2,"glutine (tracce)","")),IF(AK4=1,"latte",IF(AK4=2,"latte (tracce)","")),IF(AL4=1,"lattosio",IF(AL4=2,"lattosio (tracce)","")),IF(AM4=1,"uova",IF(AM4=2,"uova (tracce)","")),IF(AN4=1,"pesce",IF(AN4=2,"pesce (tracce)","")),IF(AO4=1,"crostacei",IF(AO4=2,"crostacei (tracce)","")),IF(AP4=1,"molluschi",IF(AP4=2,"molluschi (tracce)","")),IF(AQ4=1,"frutta a guscio",IF(AQ4=2,"frutta a guscio (tracce)","")),IF(AR4=1,"arachidi",IF(AR4=2,"arachidi (tracce)","")),IF(AS4=1,"soia",IF(AS4=2,"soia (tracce)","")),IF(AT4=1,"sesamo",IF(AT4=2,"sesamo (tracce)","")),IF(AU4=1,"sedano",IF(AU4=2,"sedano (tracce)","")),IF(AV4=1,"senape",IF(AV4=2,"senape (tracce)","")),IF(AW4=1,"solfiti",IF(AW4=2,"solfiti (tracce)","")),IF(AX4=1,"lupini",IF(AX4=2,"lupini (tracce)","")),IF(AY4=1,"nichel",IF(AY4=2,"nichel (tracce)","")),IF(AZ4=1,"FODMAP",IF(AZ4=2,"FODMAP (tracce)","")))</f>
        <v>latte, lattosio, FODMAP</v>
      </c>
      <c r="BB4" s="12" t="n">
        <f aca="false">ROUND(4*C4+4*D4+9*E4+2*N(F4),0)</f>
        <v>35</v>
      </c>
      <c r="BC4" s="12" t="s">
        <v>61</v>
      </c>
      <c r="BD4" s="12"/>
    </row>
    <row r="5" customFormat="false" ht="15" hidden="false" customHeight="false" outlineLevel="0" collapsed="false">
      <c r="A5" s="8" t="s">
        <v>67</v>
      </c>
      <c r="B5" s="9" t="n">
        <v>61</v>
      </c>
      <c r="C5" s="10" t="n">
        <v>4.7</v>
      </c>
      <c r="D5" s="10" t="n">
        <v>3.5</v>
      </c>
      <c r="E5" s="10" t="n">
        <v>3.3</v>
      </c>
      <c r="F5" s="11" t="n">
        <v>0</v>
      </c>
      <c r="G5" s="11" t="n">
        <v>4.7</v>
      </c>
      <c r="H5" s="11" t="n">
        <v>2.1</v>
      </c>
      <c r="I5" s="11" t="n">
        <v>0.9</v>
      </c>
      <c r="J5" s="11" t="n">
        <v>0.1</v>
      </c>
      <c r="K5" s="11" t="n">
        <v>13</v>
      </c>
      <c r="L5" s="11" t="n">
        <v>46</v>
      </c>
      <c r="M5" s="11" t="n">
        <v>155</v>
      </c>
      <c r="N5" s="11" t="n">
        <v>121</v>
      </c>
      <c r="O5" s="11" t="n">
        <v>95</v>
      </c>
      <c r="P5" s="11" t="n">
        <v>12</v>
      </c>
      <c r="Q5" s="11" t="n">
        <v>0.05</v>
      </c>
      <c r="R5" s="11" t="n">
        <v>0.6</v>
      </c>
      <c r="S5" s="11" t="n">
        <v>27</v>
      </c>
      <c r="T5" s="11" t="n">
        <v>0.5</v>
      </c>
      <c r="U5" s="11" t="n">
        <v>0.1</v>
      </c>
      <c r="V5" s="11" t="n">
        <v>0.06</v>
      </c>
      <c r="W5" s="11" t="n">
        <v>0.03</v>
      </c>
      <c r="X5" s="11" t="n">
        <v>0.14</v>
      </c>
      <c r="Y5" s="11" t="n">
        <v>0.08</v>
      </c>
      <c r="Z5" s="11" t="n">
        <v>0.03</v>
      </c>
      <c r="AA5" s="11" t="n">
        <v>7</v>
      </c>
      <c r="AB5" s="11" t="n">
        <v>0.37</v>
      </c>
      <c r="AC5" s="12" t="s">
        <v>57</v>
      </c>
      <c r="AD5" s="12" t="s">
        <v>68</v>
      </c>
      <c r="AE5" s="12" t="s">
        <v>59</v>
      </c>
      <c r="AF5" s="12" t="s">
        <v>69</v>
      </c>
      <c r="AG5" s="12"/>
      <c r="AH5" s="12"/>
      <c r="AI5" s="12"/>
      <c r="AJ5" s="13" t="n">
        <v>0</v>
      </c>
      <c r="AK5" s="13" t="n">
        <v>1</v>
      </c>
      <c r="AL5" s="13" t="n">
        <v>1</v>
      </c>
      <c r="AM5" s="13" t="n">
        <v>0</v>
      </c>
      <c r="AN5" s="13" t="n">
        <v>0</v>
      </c>
      <c r="AO5" s="13" t="n">
        <v>0</v>
      </c>
      <c r="AP5" s="13" t="n">
        <v>0</v>
      </c>
      <c r="AQ5" s="13" t="n">
        <v>0</v>
      </c>
      <c r="AR5" s="13" t="n">
        <v>0</v>
      </c>
      <c r="AS5" s="13" t="n">
        <v>0</v>
      </c>
      <c r="AT5" s="13" t="n">
        <v>0</v>
      </c>
      <c r="AU5" s="13" t="n">
        <v>0</v>
      </c>
      <c r="AV5" s="13" t="n">
        <v>0</v>
      </c>
      <c r="AW5" s="13" t="n">
        <v>0</v>
      </c>
      <c r="AX5" s="13" t="n">
        <v>0</v>
      </c>
      <c r="AY5" s="13" t="n">
        <v>0</v>
      </c>
      <c r="AZ5" s="13" t="n">
        <v>1</v>
      </c>
      <c r="BA5" s="12" t="str">
        <f aca="false">_xlfn.TEXTJOIN(", ",TRUE(),IF(AJ5=1,"glutine",IF(AJ5=2,"glutine (tracce)","")),IF(AK5=1,"latte",IF(AK5=2,"latte (tracce)","")),IF(AL5=1,"lattosio",IF(AL5=2,"lattosio (tracce)","")),IF(AM5=1,"uova",IF(AM5=2,"uova (tracce)","")),IF(AN5=1,"pesce",IF(AN5=2,"pesce (tracce)","")),IF(AO5=1,"crostacei",IF(AO5=2,"crostacei (tracce)","")),IF(AP5=1,"molluschi",IF(AP5=2,"molluschi (tracce)","")),IF(AQ5=1,"frutta a guscio",IF(AQ5=2,"frutta a guscio (tracce)","")),IF(AR5=1,"arachidi",IF(AR5=2,"arachidi (tracce)","")),IF(AS5=1,"soia",IF(AS5=2,"soia (tracce)","")),IF(AT5=1,"sesamo",IF(AT5=2,"sesamo (tracce)","")),IF(AU5=1,"sedano",IF(AU5=2,"sedano (tracce)","")),IF(AV5=1,"senape",IF(AV5=2,"senape (tracce)","")),IF(AW5=1,"solfiti",IF(AW5=2,"solfiti (tracce)","")),IF(AX5=1,"lupini",IF(AX5=2,"lupini (tracce)","")),IF(AY5=1,"nichel",IF(AY5=2,"nichel (tracce)","")),IF(AZ5=1,"FODMAP",IF(AZ5=2,"FODMAP (tracce)","")))</f>
        <v>latte, lattosio, FODMAP</v>
      </c>
      <c r="BB5" s="12" t="n">
        <f aca="false">ROUND(4*C5+4*D5+9*E5+2*N(F5),0)</f>
        <v>63</v>
      </c>
      <c r="BC5" s="12" t="s">
        <v>70</v>
      </c>
      <c r="BD5" s="12"/>
    </row>
    <row r="6" customFormat="false" ht="15" hidden="false" customHeight="false" outlineLevel="0" collapsed="false">
      <c r="A6" s="8" t="s">
        <v>71</v>
      </c>
      <c r="B6" s="9" t="n">
        <v>59</v>
      </c>
      <c r="C6" s="10" t="n">
        <v>3.6</v>
      </c>
      <c r="D6" s="10" t="n">
        <v>10.2</v>
      </c>
      <c r="E6" s="10" t="n">
        <v>0.4</v>
      </c>
      <c r="F6" s="11" t="n">
        <v>0</v>
      </c>
      <c r="G6" s="11" t="n">
        <v>3.2</v>
      </c>
      <c r="H6" s="11" t="n">
        <v>0.12</v>
      </c>
      <c r="I6" s="11" t="n">
        <v>0.05</v>
      </c>
      <c r="J6" s="11" t="n">
        <v>0.01</v>
      </c>
      <c r="K6" s="11" t="n">
        <v>5</v>
      </c>
      <c r="L6" s="11" t="n">
        <v>36</v>
      </c>
      <c r="M6" s="11" t="n">
        <v>141</v>
      </c>
      <c r="N6" s="11" t="n">
        <v>110</v>
      </c>
      <c r="O6" s="11" t="n">
        <v>135</v>
      </c>
      <c r="P6" s="11" t="n">
        <v>11</v>
      </c>
      <c r="Q6" s="11" t="n">
        <v>0.07</v>
      </c>
      <c r="R6" s="11" t="n">
        <v>0.52</v>
      </c>
      <c r="S6" s="11" t="n">
        <v>1</v>
      </c>
      <c r="T6" s="11" t="n">
        <v>0</v>
      </c>
      <c r="U6" s="11" t="n">
        <v>0</v>
      </c>
      <c r="V6" s="11" t="n">
        <v>0.01</v>
      </c>
      <c r="W6" s="11" t="n">
        <v>0.02</v>
      </c>
      <c r="X6" s="11" t="n">
        <v>0.28</v>
      </c>
      <c r="Y6" s="11" t="n">
        <v>0.21</v>
      </c>
      <c r="Z6" s="11" t="n">
        <v>0.06</v>
      </c>
      <c r="AA6" s="11" t="n">
        <v>7</v>
      </c>
      <c r="AB6" s="11" t="n">
        <v>0.75</v>
      </c>
      <c r="AC6" s="12" t="s">
        <v>57</v>
      </c>
      <c r="AD6" s="12" t="s">
        <v>72</v>
      </c>
      <c r="AE6" s="12" t="s">
        <v>66</v>
      </c>
      <c r="AF6" s="12" t="s">
        <v>69</v>
      </c>
      <c r="AG6" s="12"/>
      <c r="AH6" s="12" t="n">
        <v>170</v>
      </c>
      <c r="AI6" s="12" t="s">
        <v>73</v>
      </c>
      <c r="AJ6" s="13" t="n">
        <v>0</v>
      </c>
      <c r="AK6" s="13" t="n">
        <v>1</v>
      </c>
      <c r="AL6" s="13" t="n">
        <v>1</v>
      </c>
      <c r="AM6" s="13" t="n">
        <v>0</v>
      </c>
      <c r="AN6" s="13" t="n">
        <v>0</v>
      </c>
      <c r="AO6" s="13" t="n">
        <v>0</v>
      </c>
      <c r="AP6" s="13" t="n">
        <v>0</v>
      </c>
      <c r="AQ6" s="13" t="n">
        <v>0</v>
      </c>
      <c r="AR6" s="13" t="n">
        <v>0</v>
      </c>
      <c r="AS6" s="13" t="n">
        <v>0</v>
      </c>
      <c r="AT6" s="13" t="n">
        <v>0</v>
      </c>
      <c r="AU6" s="13" t="n">
        <v>0</v>
      </c>
      <c r="AV6" s="13" t="n">
        <v>0</v>
      </c>
      <c r="AW6" s="13" t="n">
        <v>0</v>
      </c>
      <c r="AX6" s="13" t="n">
        <v>0</v>
      </c>
      <c r="AY6" s="13" t="n">
        <v>0</v>
      </c>
      <c r="AZ6" s="13" t="n">
        <v>0</v>
      </c>
      <c r="BA6" s="12" t="str">
        <f aca="false">_xlfn.TEXTJOIN(", ",TRUE(),IF(AJ6=1,"glutine",IF(AJ6=2,"glutine (tracce)","")),IF(AK6=1,"latte",IF(AK6=2,"latte (tracce)","")),IF(AL6=1,"lattosio",IF(AL6=2,"lattosio (tracce)","")),IF(AM6=1,"uova",IF(AM6=2,"uova (tracce)","")),IF(AN6=1,"pesce",IF(AN6=2,"pesce (tracce)","")),IF(AO6=1,"crostacei",IF(AO6=2,"crostacei (tracce)","")),IF(AP6=1,"molluschi",IF(AP6=2,"molluschi (tracce)","")),IF(AQ6=1,"frutta a guscio",IF(AQ6=2,"frutta a guscio (tracce)","")),IF(AR6=1,"arachidi",IF(AR6=2,"arachidi (tracce)","")),IF(AS6=1,"soia",IF(AS6=2,"soia (tracce)","")),IF(AT6=1,"sesamo",IF(AT6=2,"sesamo (tracce)","")),IF(AU6=1,"sedano",IF(AU6=2,"sedano (tracce)","")),IF(AV6=1,"senape",IF(AV6=2,"senape (tracce)","")),IF(AW6=1,"solfiti",IF(AW6=2,"solfiti (tracce)","")),IF(AX6=1,"lupini",IF(AX6=2,"lupini (tracce)","")),IF(AY6=1,"nichel",IF(AY6=2,"nichel (tracce)","")),IF(AZ6=1,"FODMAP",IF(AZ6=2,"FODMAP (tracce)","")))</f>
        <v>latte, lattosio</v>
      </c>
      <c r="BB6" s="12" t="n">
        <f aca="false">ROUND(4*C6+4*D6+9*E6+2*N(F6),0)</f>
        <v>59</v>
      </c>
      <c r="BC6" s="12" t="s">
        <v>70</v>
      </c>
      <c r="BD6" s="12"/>
    </row>
    <row r="7" customFormat="false" ht="15" hidden="false" customHeight="false" outlineLevel="0" collapsed="false">
      <c r="A7" s="8" t="s">
        <v>74</v>
      </c>
      <c r="B7" s="9" t="n">
        <v>73</v>
      </c>
      <c r="C7" s="10" t="n">
        <v>3.9</v>
      </c>
      <c r="D7" s="10" t="n">
        <v>9.9</v>
      </c>
      <c r="E7" s="10" t="n">
        <v>1.9</v>
      </c>
      <c r="F7" s="11" t="n">
        <v>0</v>
      </c>
      <c r="G7" s="11" t="n">
        <v>3.6</v>
      </c>
      <c r="H7" s="11" t="n">
        <v>1.2</v>
      </c>
      <c r="I7" s="11" t="n">
        <v>0.5</v>
      </c>
      <c r="J7" s="11" t="n">
        <v>0.1</v>
      </c>
      <c r="K7" s="11" t="n">
        <v>10</v>
      </c>
      <c r="L7" s="11" t="n">
        <v>34</v>
      </c>
      <c r="M7" s="11" t="n">
        <v>141</v>
      </c>
      <c r="N7" s="11" t="n">
        <v>115</v>
      </c>
      <c r="O7" s="11" t="n">
        <v>136</v>
      </c>
      <c r="P7" s="11" t="n">
        <v>11</v>
      </c>
      <c r="Q7" s="11" t="n">
        <v>0.07</v>
      </c>
      <c r="R7" s="11" t="n">
        <v>0.5</v>
      </c>
      <c r="S7" s="11" t="n">
        <v>15</v>
      </c>
      <c r="T7" s="11" t="n">
        <v>0</v>
      </c>
      <c r="U7" s="11" t="n">
        <v>0</v>
      </c>
      <c r="V7" s="11" t="n">
        <v>0.03</v>
      </c>
      <c r="W7" s="11" t="n">
        <v>0.02</v>
      </c>
      <c r="X7" s="11" t="n">
        <v>0.25</v>
      </c>
      <c r="Y7" s="11" t="n">
        <v>0.2</v>
      </c>
      <c r="Z7" s="11" t="n">
        <v>0.06</v>
      </c>
      <c r="AA7" s="11" t="n">
        <v>7</v>
      </c>
      <c r="AB7" s="11" t="n">
        <v>0.75</v>
      </c>
      <c r="AC7" s="12" t="s">
        <v>57</v>
      </c>
      <c r="AD7" s="12" t="s">
        <v>75</v>
      </c>
      <c r="AE7" s="12" t="s">
        <v>66</v>
      </c>
      <c r="AF7" s="12" t="s">
        <v>69</v>
      </c>
      <c r="AG7" s="12"/>
      <c r="AH7" s="12" t="n">
        <v>170</v>
      </c>
      <c r="AI7" s="12" t="s">
        <v>73</v>
      </c>
      <c r="AJ7" s="13" t="n">
        <v>0</v>
      </c>
      <c r="AK7" s="13" t="n">
        <v>1</v>
      </c>
      <c r="AL7" s="13" t="n">
        <v>1</v>
      </c>
      <c r="AM7" s="13" t="n">
        <v>0</v>
      </c>
      <c r="AN7" s="13" t="n">
        <v>0</v>
      </c>
      <c r="AO7" s="13" t="n">
        <v>0</v>
      </c>
      <c r="AP7" s="13" t="n">
        <v>0</v>
      </c>
      <c r="AQ7" s="13" t="n">
        <v>0</v>
      </c>
      <c r="AR7" s="13" t="n">
        <v>0</v>
      </c>
      <c r="AS7" s="13" t="n">
        <v>0</v>
      </c>
      <c r="AT7" s="13" t="n">
        <v>0</v>
      </c>
      <c r="AU7" s="13" t="n">
        <v>0</v>
      </c>
      <c r="AV7" s="13" t="n">
        <v>0</v>
      </c>
      <c r="AW7" s="13" t="n">
        <v>0</v>
      </c>
      <c r="AX7" s="13" t="n">
        <v>0</v>
      </c>
      <c r="AY7" s="13" t="n">
        <v>0</v>
      </c>
      <c r="AZ7" s="13" t="n">
        <v>0</v>
      </c>
      <c r="BA7" s="12" t="str">
        <f aca="false">_xlfn.TEXTJOIN(", ",TRUE(),IF(AJ7=1,"glutine",IF(AJ7=2,"glutine (tracce)","")),IF(AK7=1,"latte",IF(AK7=2,"latte (tracce)","")),IF(AL7=1,"lattosio",IF(AL7=2,"lattosio (tracce)","")),IF(AM7=1,"uova",IF(AM7=2,"uova (tracce)","")),IF(AN7=1,"pesce",IF(AN7=2,"pesce (tracce)","")),IF(AO7=1,"crostacei",IF(AO7=2,"crostacei (tracce)","")),IF(AP7=1,"molluschi",IF(AP7=2,"molluschi (tracce)","")),IF(AQ7=1,"frutta a guscio",IF(AQ7=2,"frutta a guscio (tracce)","")),IF(AR7=1,"arachidi",IF(AR7=2,"arachidi (tracce)","")),IF(AS7=1,"soia",IF(AS7=2,"soia (tracce)","")),IF(AT7=1,"sesamo",IF(AT7=2,"sesamo (tracce)","")),IF(AU7=1,"sedano",IF(AU7=2,"sedano (tracce)","")),IF(AV7=1,"senape",IF(AV7=2,"senape (tracce)","")),IF(AW7=1,"solfiti",IF(AW7=2,"solfiti (tracce)","")),IF(AX7=1,"lupini",IF(AX7=2,"lupini (tracce)","")),IF(AY7=1,"nichel",IF(AY7=2,"nichel (tracce)","")),IF(AZ7=1,"FODMAP",IF(AZ7=2,"FODMAP (tracce)","")))</f>
        <v>latte, lattosio</v>
      </c>
      <c r="BB7" s="12" t="n">
        <f aca="false">ROUND(4*C7+4*D7+9*E7+2*N(F7),0)</f>
        <v>72</v>
      </c>
      <c r="BC7" s="12" t="s">
        <v>70</v>
      </c>
      <c r="BD7" s="12"/>
    </row>
    <row r="8" customFormat="false" ht="15" hidden="false" customHeight="false" outlineLevel="0" collapsed="false">
      <c r="A8" s="8" t="s">
        <v>76</v>
      </c>
      <c r="B8" s="9" t="n">
        <v>63</v>
      </c>
      <c r="C8" s="10" t="n">
        <v>4</v>
      </c>
      <c r="D8" s="10" t="n">
        <v>11</v>
      </c>
      <c r="E8" s="10" t="n">
        <v>0.2</v>
      </c>
      <c r="F8" s="11" t="n">
        <v>0</v>
      </c>
      <c r="G8" s="11" t="n">
        <v>4</v>
      </c>
      <c r="H8" s="11" t="n">
        <v>0.1</v>
      </c>
      <c r="I8" s="11" t="n">
        <v>0.05</v>
      </c>
      <c r="J8" s="11" t="n">
        <v>0.01</v>
      </c>
      <c r="K8" s="11" t="n">
        <v>3</v>
      </c>
      <c r="L8" s="11" t="n">
        <v>40</v>
      </c>
      <c r="M8" s="11" t="n">
        <v>150</v>
      </c>
      <c r="N8" s="11" t="n">
        <v>120</v>
      </c>
      <c r="O8" s="11" t="n">
        <v>140</v>
      </c>
      <c r="P8" s="11" t="n">
        <v>11</v>
      </c>
      <c r="Q8" s="11" t="n">
        <v>0.05</v>
      </c>
      <c r="R8" s="11" t="n">
        <v>0.5</v>
      </c>
      <c r="S8" s="11" t="n">
        <v>2</v>
      </c>
      <c r="T8" s="11" t="n">
        <v>0</v>
      </c>
      <c r="U8" s="11" t="n">
        <v>0</v>
      </c>
      <c r="V8" s="11" t="n">
        <v>0</v>
      </c>
      <c r="W8" s="11" t="n">
        <v>0.03</v>
      </c>
      <c r="X8" s="11" t="n">
        <v>0.25</v>
      </c>
      <c r="Y8" s="11" t="n">
        <v>0.1</v>
      </c>
      <c r="Z8" s="11" t="n">
        <v>0.05</v>
      </c>
      <c r="AA8" s="11" t="n">
        <v>6</v>
      </c>
      <c r="AB8" s="11" t="n">
        <v>0.6</v>
      </c>
      <c r="AC8" s="12" t="s">
        <v>57</v>
      </c>
      <c r="AD8" s="12" t="s">
        <v>77</v>
      </c>
      <c r="AE8" s="12" t="s">
        <v>66</v>
      </c>
      <c r="AF8" s="12" t="s">
        <v>69</v>
      </c>
      <c r="AG8" s="12"/>
      <c r="AH8" s="12" t="n">
        <v>150</v>
      </c>
      <c r="AI8" s="12" t="s">
        <v>73</v>
      </c>
      <c r="AJ8" s="13" t="n">
        <v>0</v>
      </c>
      <c r="AK8" s="13" t="n">
        <v>1</v>
      </c>
      <c r="AL8" s="13" t="n">
        <v>1</v>
      </c>
      <c r="AM8" s="13" t="n">
        <v>0</v>
      </c>
      <c r="AN8" s="13" t="n">
        <v>0</v>
      </c>
      <c r="AO8" s="13" t="n">
        <v>0</v>
      </c>
      <c r="AP8" s="13" t="n">
        <v>0</v>
      </c>
      <c r="AQ8" s="13" t="n">
        <v>0</v>
      </c>
      <c r="AR8" s="13" t="n">
        <v>0</v>
      </c>
      <c r="AS8" s="13" t="n">
        <v>0</v>
      </c>
      <c r="AT8" s="13" t="n">
        <v>0</v>
      </c>
      <c r="AU8" s="13" t="n">
        <v>0</v>
      </c>
      <c r="AV8" s="13" t="n">
        <v>0</v>
      </c>
      <c r="AW8" s="13" t="n">
        <v>0</v>
      </c>
      <c r="AX8" s="13" t="n">
        <v>0</v>
      </c>
      <c r="AY8" s="13" t="n">
        <v>0</v>
      </c>
      <c r="AZ8" s="13" t="n">
        <v>0</v>
      </c>
      <c r="BA8" s="12" t="str">
        <f aca="false">_xlfn.TEXTJOIN(", ",TRUE(),IF(AJ8=1,"glutine",IF(AJ8=2,"glutine (tracce)","")),IF(AK8=1,"latte",IF(AK8=2,"latte (tracce)","")),IF(AL8=1,"lattosio",IF(AL8=2,"lattosio (tracce)","")),IF(AM8=1,"uova",IF(AM8=2,"uova (tracce)","")),IF(AN8=1,"pesce",IF(AN8=2,"pesce (tracce)","")),IF(AO8=1,"crostacei",IF(AO8=2,"crostacei (tracce)","")),IF(AP8=1,"molluschi",IF(AP8=2,"molluschi (tracce)","")),IF(AQ8=1,"frutta a guscio",IF(AQ8=2,"frutta a guscio (tracce)","")),IF(AR8=1,"arachidi",IF(AR8=2,"arachidi (tracce)","")),IF(AS8=1,"soia",IF(AS8=2,"soia (tracce)","")),IF(AT8=1,"sesamo",IF(AT8=2,"sesamo (tracce)","")),IF(AU8=1,"sedano",IF(AU8=2,"sedano (tracce)","")),IF(AV8=1,"senape",IF(AV8=2,"senape (tracce)","")),IF(AW8=1,"solfiti",IF(AW8=2,"solfiti (tracce)","")),IF(AX8=1,"lupini",IF(AX8=2,"lupini (tracce)","")),IF(AY8=1,"nichel",IF(AY8=2,"nichel (tracce)","")),IF(AZ8=1,"FODMAP",IF(AZ8=2,"FODMAP (tracce)","")))</f>
        <v>latte, lattosio</v>
      </c>
      <c r="BB8" s="12" t="n">
        <f aca="false">ROUND(4*C8+4*D8+9*E8+2*N(F8),0)</f>
        <v>62</v>
      </c>
      <c r="BC8" s="12" t="s">
        <v>78</v>
      </c>
      <c r="BD8" s="12"/>
    </row>
    <row r="9" customFormat="false" ht="15" hidden="false" customHeight="false" outlineLevel="0" collapsed="false">
      <c r="A9" s="8" t="s">
        <v>79</v>
      </c>
      <c r="B9" s="9" t="n">
        <v>41</v>
      </c>
      <c r="C9" s="10" t="n">
        <v>4.5</v>
      </c>
      <c r="D9" s="10" t="n">
        <v>3.8</v>
      </c>
      <c r="E9" s="10" t="n">
        <v>1</v>
      </c>
      <c r="F9" s="11" t="n">
        <v>0</v>
      </c>
      <c r="G9" s="11" t="n">
        <v>4.6</v>
      </c>
      <c r="H9" s="11" t="n">
        <v>0.6</v>
      </c>
      <c r="I9" s="11" t="n">
        <v>0.25</v>
      </c>
      <c r="J9" s="11" t="n">
        <v>0.04</v>
      </c>
      <c r="K9" s="11" t="n">
        <v>5</v>
      </c>
      <c r="L9" s="11" t="n">
        <v>40</v>
      </c>
      <c r="M9" s="11" t="n">
        <v>164</v>
      </c>
      <c r="N9" s="11" t="n">
        <v>130</v>
      </c>
      <c r="O9" s="11" t="n">
        <v>105</v>
      </c>
      <c r="P9" s="11" t="n">
        <v>12</v>
      </c>
      <c r="Q9" s="11" t="n">
        <v>0.04</v>
      </c>
      <c r="R9" s="11" t="n">
        <v>0.46</v>
      </c>
      <c r="S9" s="11" t="n">
        <v>20</v>
      </c>
      <c r="T9" s="11" t="n">
        <v>0.2</v>
      </c>
      <c r="U9" s="11" t="n">
        <v>0.1</v>
      </c>
      <c r="V9" s="11" t="n">
        <v>0.02</v>
      </c>
      <c r="W9" s="11" t="n">
        <v>0.04</v>
      </c>
      <c r="X9" s="11" t="n">
        <v>0.17</v>
      </c>
      <c r="Y9" s="11" t="n">
        <v>0.07</v>
      </c>
      <c r="Z9" s="11" t="n">
        <v>0.03</v>
      </c>
      <c r="AA9" s="11" t="n">
        <v>5</v>
      </c>
      <c r="AB9" s="11" t="n">
        <v>0.27</v>
      </c>
      <c r="AC9" s="12" t="s">
        <v>57</v>
      </c>
      <c r="AD9" s="12" t="s">
        <v>80</v>
      </c>
      <c r="AE9" s="12" t="s">
        <v>59</v>
      </c>
      <c r="AF9" s="12" t="s">
        <v>60</v>
      </c>
      <c r="AG9" s="12" t="n">
        <v>1.03</v>
      </c>
      <c r="AH9" s="12"/>
      <c r="AI9" s="12"/>
      <c r="AJ9" s="13" t="n">
        <v>0</v>
      </c>
      <c r="AK9" s="13" t="n">
        <v>1</v>
      </c>
      <c r="AL9" s="13" t="n">
        <v>1</v>
      </c>
      <c r="AM9" s="13" t="n">
        <v>0</v>
      </c>
      <c r="AN9" s="13" t="n">
        <v>0</v>
      </c>
      <c r="AO9" s="13" t="n">
        <v>0</v>
      </c>
      <c r="AP9" s="13" t="n">
        <v>0</v>
      </c>
      <c r="AQ9" s="13" t="n">
        <v>0</v>
      </c>
      <c r="AR9" s="13" t="n">
        <v>0</v>
      </c>
      <c r="AS9" s="13" t="n">
        <v>0</v>
      </c>
      <c r="AT9" s="13" t="n">
        <v>0</v>
      </c>
      <c r="AU9" s="13" t="n">
        <v>0</v>
      </c>
      <c r="AV9" s="13" t="n">
        <v>0</v>
      </c>
      <c r="AW9" s="13" t="n">
        <v>0</v>
      </c>
      <c r="AX9" s="13" t="n">
        <v>0</v>
      </c>
      <c r="AY9" s="13" t="n">
        <v>0</v>
      </c>
      <c r="AZ9" s="13" t="n">
        <v>0</v>
      </c>
      <c r="BA9" s="12" t="str">
        <f aca="false">_xlfn.TEXTJOIN(", ",TRUE(),IF(AJ9=1,"glutine",IF(AJ9=2,"glutine (tracce)","")),IF(AK9=1,"latte",IF(AK9=2,"latte (tracce)","")),IF(AL9=1,"lattosio",IF(AL9=2,"lattosio (tracce)","")),IF(AM9=1,"uova",IF(AM9=2,"uova (tracce)","")),IF(AN9=1,"pesce",IF(AN9=2,"pesce (tracce)","")),IF(AO9=1,"crostacei",IF(AO9=2,"crostacei (tracce)","")),IF(AP9=1,"molluschi",IF(AP9=2,"molluschi (tracce)","")),IF(AQ9=1,"frutta a guscio",IF(AQ9=2,"frutta a guscio (tracce)","")),IF(AR9=1,"arachidi",IF(AR9=2,"arachidi (tracce)","")),IF(AS9=1,"soia",IF(AS9=2,"soia (tracce)","")),IF(AT9=1,"sesamo",IF(AT9=2,"sesamo (tracce)","")),IF(AU9=1,"sedano",IF(AU9=2,"sedano (tracce)","")),IF(AV9=1,"senape",IF(AV9=2,"senape (tracce)","")),IF(AW9=1,"solfiti",IF(AW9=2,"solfiti (tracce)","")),IF(AX9=1,"lupini",IF(AX9=2,"lupini (tracce)","")),IF(AY9=1,"nichel",IF(AY9=2,"nichel (tracce)","")),IF(AZ9=1,"FODMAP",IF(AZ9=2,"FODMAP (tracce)","")))</f>
        <v>latte, lattosio</v>
      </c>
      <c r="BB9" s="12" t="n">
        <f aca="false">ROUND(4*C9+4*D9+9*E9+2*N(F9),0)</f>
        <v>42</v>
      </c>
      <c r="BC9" s="12" t="s">
        <v>70</v>
      </c>
      <c r="BD9" s="12" t="s">
        <v>81</v>
      </c>
    </row>
    <row r="10" customFormat="false" ht="15" hidden="false" customHeight="false" outlineLevel="0" collapsed="false">
      <c r="A10" s="8" t="s">
        <v>82</v>
      </c>
      <c r="B10" s="9" t="n">
        <v>79</v>
      </c>
      <c r="C10" s="10" t="n">
        <v>6.2</v>
      </c>
      <c r="D10" s="10" t="n">
        <v>10</v>
      </c>
      <c r="E10" s="10" t="n">
        <v>1.5</v>
      </c>
      <c r="F10" s="11" t="n">
        <v>0.4</v>
      </c>
      <c r="G10" s="11" t="n">
        <v>4.4</v>
      </c>
      <c r="H10" s="11" t="n">
        <v>1</v>
      </c>
      <c r="I10" s="11"/>
      <c r="J10" s="11"/>
      <c r="K10" s="11"/>
      <c r="L10" s="11" t="n">
        <v>60</v>
      </c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2" t="s">
        <v>57</v>
      </c>
      <c r="AD10" s="12" t="s">
        <v>83</v>
      </c>
      <c r="AE10" s="12" t="s">
        <v>66</v>
      </c>
      <c r="AF10" s="12" t="s">
        <v>84</v>
      </c>
      <c r="AG10" s="12"/>
      <c r="AH10" s="12" t="n">
        <v>200</v>
      </c>
      <c r="AI10" s="12" t="s">
        <v>73</v>
      </c>
      <c r="AJ10" s="13" t="n">
        <v>0</v>
      </c>
      <c r="AK10" s="13" t="n">
        <v>1</v>
      </c>
      <c r="AL10" s="13" t="n">
        <v>1</v>
      </c>
      <c r="AM10" s="13" t="n">
        <v>0</v>
      </c>
      <c r="AN10" s="13" t="n">
        <v>0</v>
      </c>
      <c r="AO10" s="13" t="n">
        <v>0</v>
      </c>
      <c r="AP10" s="13" t="n">
        <v>0</v>
      </c>
      <c r="AQ10" s="13" t="n">
        <v>0</v>
      </c>
      <c r="AR10" s="13" t="n">
        <v>0</v>
      </c>
      <c r="AS10" s="13" t="n">
        <v>0</v>
      </c>
      <c r="AT10" s="13" t="n">
        <v>0</v>
      </c>
      <c r="AU10" s="13" t="n">
        <v>0</v>
      </c>
      <c r="AV10" s="13" t="n">
        <v>0</v>
      </c>
      <c r="AW10" s="13" t="n">
        <v>0</v>
      </c>
      <c r="AX10" s="13" t="n">
        <v>0</v>
      </c>
      <c r="AY10" s="13" t="n">
        <v>0</v>
      </c>
      <c r="AZ10" s="13" t="n">
        <v>0</v>
      </c>
      <c r="BA10" s="12" t="str">
        <f aca="false">_xlfn.TEXTJOIN(", ",TRUE(),IF(AJ10=1,"glutine",IF(AJ10=2,"glutine (tracce)","")),IF(AK10=1,"latte",IF(AK10=2,"latte (tracce)","")),IF(AL10=1,"lattosio",IF(AL10=2,"lattosio (tracce)","")),IF(AM10=1,"uova",IF(AM10=2,"uova (tracce)","")),IF(AN10=1,"pesce",IF(AN10=2,"pesce (tracce)","")),IF(AO10=1,"crostacei",IF(AO10=2,"crostacei (tracce)","")),IF(AP10=1,"molluschi",IF(AP10=2,"molluschi (tracce)","")),IF(AQ10=1,"frutta a guscio",IF(AQ10=2,"frutta a guscio (tracce)","")),IF(AR10=1,"arachidi",IF(AR10=2,"arachidi (tracce)","")),IF(AS10=1,"soia",IF(AS10=2,"soia (tracce)","")),IF(AT10=1,"sesamo",IF(AT10=2,"sesamo (tracce)","")),IF(AU10=1,"sedano",IF(AU10=2,"sedano (tracce)","")),IF(AV10=1,"senape",IF(AV10=2,"senape (tracce)","")),IF(AW10=1,"solfiti",IF(AW10=2,"solfiti (tracce)","")),IF(AX10=1,"lupini",IF(AX10=2,"lupini (tracce)","")),IF(AY10=1,"nichel",IF(AY10=2,"nichel (tracce)","")),IF(AZ10=1,"FODMAP",IF(AZ10=2,"FODMAP (tracce)","")))</f>
        <v>latte, lattosio</v>
      </c>
      <c r="BB10" s="12" t="n">
        <f aca="false">ROUND(4*C10+4*D10+9*E10+2*N(F10),0)</f>
        <v>79</v>
      </c>
      <c r="BC10" s="12" t="s">
        <v>78</v>
      </c>
      <c r="BD10" s="12" t="s">
        <v>85</v>
      </c>
    </row>
    <row r="11" customFormat="false" ht="15" hidden="false" customHeight="false" outlineLevel="0" collapsed="false">
      <c r="A11" s="8" t="s">
        <v>86</v>
      </c>
      <c r="B11" s="9" t="n">
        <v>98</v>
      </c>
      <c r="C11" s="10" t="n">
        <v>3.4</v>
      </c>
      <c r="D11" s="10" t="n">
        <v>11.1</v>
      </c>
      <c r="E11" s="10" t="n">
        <v>4.3</v>
      </c>
      <c r="F11" s="11" t="n">
        <v>0</v>
      </c>
      <c r="G11" s="11" t="n">
        <v>2.7</v>
      </c>
      <c r="H11" s="11" t="n">
        <v>1.7</v>
      </c>
      <c r="I11" s="11" t="n">
        <v>0.78</v>
      </c>
      <c r="J11" s="11" t="n">
        <v>0.12</v>
      </c>
      <c r="K11" s="11" t="n">
        <v>17</v>
      </c>
      <c r="L11" s="11" t="n">
        <v>364</v>
      </c>
      <c r="M11" s="11" t="n">
        <v>104</v>
      </c>
      <c r="N11" s="11" t="n">
        <v>83</v>
      </c>
      <c r="O11" s="11" t="n">
        <v>159</v>
      </c>
      <c r="P11" s="11" t="n">
        <v>8</v>
      </c>
      <c r="Q11" s="11" t="n">
        <v>0.07</v>
      </c>
      <c r="R11" s="11" t="n">
        <v>0.4</v>
      </c>
      <c r="S11" s="11" t="n">
        <v>37</v>
      </c>
      <c r="T11" s="11" t="n">
        <v>0</v>
      </c>
      <c r="U11" s="11" t="n">
        <v>0.1</v>
      </c>
      <c r="V11" s="11" t="n">
        <v>0.08</v>
      </c>
      <c r="W11" s="11" t="n">
        <v>0.03</v>
      </c>
      <c r="X11" s="11" t="n">
        <v>0.16</v>
      </c>
      <c r="Y11" s="11" t="n">
        <v>0.1</v>
      </c>
      <c r="Z11" s="11" t="n">
        <v>0.05</v>
      </c>
      <c r="AA11" s="11" t="n">
        <v>12</v>
      </c>
      <c r="AB11" s="11" t="n">
        <v>0.43</v>
      </c>
      <c r="AC11" s="12" t="s">
        <v>57</v>
      </c>
      <c r="AD11" s="12" t="s">
        <v>87</v>
      </c>
      <c r="AE11" s="12" t="s">
        <v>66</v>
      </c>
      <c r="AF11" s="12" t="s">
        <v>69</v>
      </c>
      <c r="AG11" s="12"/>
      <c r="AH11" s="12" t="n">
        <v>200</v>
      </c>
      <c r="AI11" s="12" t="s">
        <v>88</v>
      </c>
      <c r="AJ11" s="13" t="n">
        <v>0</v>
      </c>
      <c r="AK11" s="13" t="n">
        <v>1</v>
      </c>
      <c r="AL11" s="13" t="n">
        <v>1</v>
      </c>
      <c r="AM11" s="13" t="n">
        <v>0</v>
      </c>
      <c r="AN11" s="13" t="n">
        <v>0</v>
      </c>
      <c r="AO11" s="13" t="n">
        <v>0</v>
      </c>
      <c r="AP11" s="13" t="n">
        <v>0</v>
      </c>
      <c r="AQ11" s="13" t="n">
        <v>0</v>
      </c>
      <c r="AR11" s="13" t="n">
        <v>0</v>
      </c>
      <c r="AS11" s="13" t="n">
        <v>0</v>
      </c>
      <c r="AT11" s="13" t="n">
        <v>0</v>
      </c>
      <c r="AU11" s="13" t="n">
        <v>0</v>
      </c>
      <c r="AV11" s="13" t="n">
        <v>0</v>
      </c>
      <c r="AW11" s="13" t="n">
        <v>0</v>
      </c>
      <c r="AX11" s="13" t="n">
        <v>0</v>
      </c>
      <c r="AY11" s="13" t="n">
        <v>0</v>
      </c>
      <c r="AZ11" s="13" t="n">
        <v>1</v>
      </c>
      <c r="BA11" s="12" t="str">
        <f aca="false">_xlfn.TEXTJOIN(", ",TRUE(),IF(AJ11=1,"glutine",IF(AJ11=2,"glutine (tracce)","")),IF(AK11=1,"latte",IF(AK11=2,"latte (tracce)","")),IF(AL11=1,"lattosio",IF(AL11=2,"lattosio (tracce)","")),IF(AM11=1,"uova",IF(AM11=2,"uova (tracce)","")),IF(AN11=1,"pesce",IF(AN11=2,"pesce (tracce)","")),IF(AO11=1,"crostacei",IF(AO11=2,"crostacei (tracce)","")),IF(AP11=1,"molluschi",IF(AP11=2,"molluschi (tracce)","")),IF(AQ11=1,"frutta a guscio",IF(AQ11=2,"frutta a guscio (tracce)","")),IF(AR11=1,"arachidi",IF(AR11=2,"arachidi (tracce)","")),IF(AS11=1,"soia",IF(AS11=2,"soia (tracce)","")),IF(AT11=1,"sesamo",IF(AT11=2,"sesamo (tracce)","")),IF(AU11=1,"sedano",IF(AU11=2,"sedano (tracce)","")),IF(AV11=1,"senape",IF(AV11=2,"senape (tracce)","")),IF(AW11=1,"solfiti",IF(AW11=2,"solfiti (tracce)","")),IF(AX11=1,"lupini",IF(AX11=2,"lupini (tracce)","")),IF(AY11=1,"nichel",IF(AY11=2,"nichel (tracce)","")),IF(AZ11=1,"FODMAP",IF(AZ11=2,"FODMAP (tracce)","")))</f>
        <v>latte, lattosio, FODMAP</v>
      </c>
      <c r="BB11" s="12" t="n">
        <f aca="false">ROUND(4*C11+4*D11+9*E11+2*N(F11),0)</f>
        <v>97</v>
      </c>
      <c r="BC11" s="12" t="s">
        <v>70</v>
      </c>
      <c r="BD11" s="12"/>
    </row>
    <row r="12" customFormat="false" ht="15" hidden="false" customHeight="false" outlineLevel="0" collapsed="false">
      <c r="A12" s="8" t="s">
        <v>89</v>
      </c>
      <c r="B12" s="9" t="n">
        <v>146</v>
      </c>
      <c r="C12" s="10" t="n">
        <v>3.5</v>
      </c>
      <c r="D12" s="10" t="n">
        <v>8.8</v>
      </c>
      <c r="E12" s="10" t="n">
        <v>10.9</v>
      </c>
      <c r="F12" s="11" t="n">
        <v>0</v>
      </c>
      <c r="G12" s="11" t="n">
        <v>3.5</v>
      </c>
      <c r="H12" s="11" t="n">
        <v>6.9</v>
      </c>
      <c r="I12" s="11" t="n">
        <v>3</v>
      </c>
      <c r="J12" s="11" t="n">
        <v>0.3</v>
      </c>
      <c r="K12" s="11" t="n">
        <v>50</v>
      </c>
      <c r="L12" s="11" t="n">
        <v>78</v>
      </c>
      <c r="M12" s="11" t="n">
        <v>119</v>
      </c>
      <c r="N12" s="11" t="n">
        <v>295</v>
      </c>
      <c r="O12" s="11" t="n">
        <v>237</v>
      </c>
      <c r="P12" s="11" t="n">
        <v>11</v>
      </c>
      <c r="Q12" s="11" t="n">
        <v>0.2</v>
      </c>
      <c r="R12" s="11" t="n">
        <v>1.2</v>
      </c>
      <c r="S12" s="11" t="n">
        <v>120</v>
      </c>
      <c r="T12" s="11" t="n">
        <v>0</v>
      </c>
      <c r="U12" s="11" t="n">
        <v>0.2</v>
      </c>
      <c r="V12" s="11" t="n">
        <v>0.1</v>
      </c>
      <c r="W12" s="11" t="n">
        <v>0.02</v>
      </c>
      <c r="X12" s="11" t="n">
        <v>0.19</v>
      </c>
      <c r="Y12" s="11" t="n">
        <v>0.1</v>
      </c>
      <c r="Z12" s="11" t="n">
        <v>0.04</v>
      </c>
      <c r="AA12" s="11" t="n">
        <v>12</v>
      </c>
      <c r="AB12" s="11" t="n">
        <v>0.3</v>
      </c>
      <c r="AC12" s="12" t="s">
        <v>57</v>
      </c>
      <c r="AD12" s="12" t="s">
        <v>90</v>
      </c>
      <c r="AE12" s="12" t="s">
        <v>59</v>
      </c>
      <c r="AF12" s="12" t="s">
        <v>69</v>
      </c>
      <c r="AG12" s="12"/>
      <c r="AH12" s="12"/>
      <c r="AI12" s="12"/>
      <c r="AJ12" s="13" t="n">
        <v>0</v>
      </c>
      <c r="AK12" s="13" t="n">
        <v>1</v>
      </c>
      <c r="AL12" s="13" t="n">
        <v>1</v>
      </c>
      <c r="AM12" s="13" t="n">
        <v>0</v>
      </c>
      <c r="AN12" s="13" t="n">
        <v>0</v>
      </c>
      <c r="AO12" s="13" t="n">
        <v>0</v>
      </c>
      <c r="AP12" s="13" t="n">
        <v>0</v>
      </c>
      <c r="AQ12" s="13" t="n">
        <v>0</v>
      </c>
      <c r="AR12" s="13" t="n">
        <v>0</v>
      </c>
      <c r="AS12" s="13" t="n">
        <v>0</v>
      </c>
      <c r="AT12" s="13" t="n">
        <v>0</v>
      </c>
      <c r="AU12" s="13" t="n">
        <v>0</v>
      </c>
      <c r="AV12" s="13" t="n">
        <v>0</v>
      </c>
      <c r="AW12" s="13" t="n">
        <v>0</v>
      </c>
      <c r="AX12" s="13" t="n">
        <v>0</v>
      </c>
      <c r="AY12" s="13" t="n">
        <v>0</v>
      </c>
      <c r="AZ12" s="13" t="n">
        <v>1</v>
      </c>
      <c r="BA12" s="12" t="str">
        <f aca="false">_xlfn.TEXTJOIN(", ",TRUE(),IF(AJ12=1,"glutine",IF(AJ12=2,"glutine (tracce)","")),IF(AK12=1,"latte",IF(AK12=2,"latte (tracce)","")),IF(AL12=1,"lattosio",IF(AL12=2,"lattosio (tracce)","")),IF(AM12=1,"uova",IF(AM12=2,"uova (tracce)","")),IF(AN12=1,"pesce",IF(AN12=2,"pesce (tracce)","")),IF(AO12=1,"crostacei",IF(AO12=2,"crostacei (tracce)","")),IF(AP12=1,"molluschi",IF(AP12=2,"molluschi (tracce)","")),IF(AQ12=1,"frutta a guscio",IF(AQ12=2,"frutta a guscio (tracce)","")),IF(AR12=1,"arachidi",IF(AR12=2,"arachidi (tracce)","")),IF(AS12=1,"soia",IF(AS12=2,"soia (tracce)","")),IF(AT12=1,"sesamo",IF(AT12=2,"sesamo (tracce)","")),IF(AU12=1,"sedano",IF(AU12=2,"sedano (tracce)","")),IF(AV12=1,"senape",IF(AV12=2,"senape (tracce)","")),IF(AW12=1,"solfiti",IF(AW12=2,"solfiti (tracce)","")),IF(AX12=1,"lupini",IF(AX12=2,"lupini (tracce)","")),IF(AY12=1,"nichel",IF(AY12=2,"nichel (tracce)","")),IF(AZ12=1,"FODMAP",IF(AZ12=2,"FODMAP (tracce)","")))</f>
        <v>latte, lattosio, FODMAP</v>
      </c>
      <c r="BB12" s="12" t="n">
        <f aca="false">ROUND(4*C12+4*D12+9*E12+2*N(F12),0)</f>
        <v>147</v>
      </c>
      <c r="BC12" s="12" t="s">
        <v>61</v>
      </c>
      <c r="BD12" s="12"/>
    </row>
    <row r="13" customFormat="false" ht="15" hidden="false" customHeight="false" outlineLevel="0" collapsed="false">
      <c r="A13" s="8" t="s">
        <v>91</v>
      </c>
      <c r="B13" s="9" t="n">
        <v>98</v>
      </c>
      <c r="C13" s="10" t="n">
        <v>3.8</v>
      </c>
      <c r="D13" s="10" t="n">
        <v>9.5</v>
      </c>
      <c r="E13" s="10" t="n">
        <v>5</v>
      </c>
      <c r="F13" s="11" t="n">
        <v>0</v>
      </c>
      <c r="G13" s="11" t="n">
        <v>3.8</v>
      </c>
      <c r="H13" s="11" t="n">
        <v>3.3</v>
      </c>
      <c r="I13" s="11"/>
      <c r="J13" s="11"/>
      <c r="K13" s="11" t="n">
        <v>18</v>
      </c>
      <c r="L13" s="11" t="n">
        <v>80</v>
      </c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2" t="s">
        <v>57</v>
      </c>
      <c r="AD13" s="12" t="s">
        <v>92</v>
      </c>
      <c r="AE13" s="12" t="s">
        <v>66</v>
      </c>
      <c r="AF13" s="12" t="s">
        <v>69</v>
      </c>
      <c r="AG13" s="12"/>
      <c r="AH13" s="12"/>
      <c r="AI13" s="12"/>
      <c r="AJ13" s="13" t="n">
        <v>0</v>
      </c>
      <c r="AK13" s="13" t="n">
        <v>1</v>
      </c>
      <c r="AL13" s="13" t="n">
        <v>1</v>
      </c>
      <c r="AM13" s="13" t="n">
        <v>0</v>
      </c>
      <c r="AN13" s="13" t="n">
        <v>0</v>
      </c>
      <c r="AO13" s="13" t="n">
        <v>0</v>
      </c>
      <c r="AP13" s="13" t="n">
        <v>0</v>
      </c>
      <c r="AQ13" s="13" t="n">
        <v>0</v>
      </c>
      <c r="AR13" s="13" t="n">
        <v>0</v>
      </c>
      <c r="AS13" s="13" t="n">
        <v>0</v>
      </c>
      <c r="AT13" s="13" t="n">
        <v>0</v>
      </c>
      <c r="AU13" s="13" t="n">
        <v>0</v>
      </c>
      <c r="AV13" s="13" t="n">
        <v>0</v>
      </c>
      <c r="AW13" s="13" t="n">
        <v>0</v>
      </c>
      <c r="AX13" s="13" t="n">
        <v>0</v>
      </c>
      <c r="AY13" s="13" t="n">
        <v>0</v>
      </c>
      <c r="AZ13" s="13" t="n">
        <v>1</v>
      </c>
      <c r="BA13" s="12" t="str">
        <f aca="false">_xlfn.TEXTJOIN(", ",TRUE(),IF(AJ13=1,"glutine",IF(AJ13=2,"glutine (tracce)","")),IF(AK13=1,"latte",IF(AK13=2,"latte (tracce)","")),IF(AL13=1,"lattosio",IF(AL13=2,"lattosio (tracce)","")),IF(AM13=1,"uova",IF(AM13=2,"uova (tracce)","")),IF(AN13=1,"pesce",IF(AN13=2,"pesce (tracce)","")),IF(AO13=1,"crostacei",IF(AO13=2,"crostacei (tracce)","")),IF(AP13=1,"molluschi",IF(AP13=2,"molluschi (tracce)","")),IF(AQ13=1,"frutta a guscio",IF(AQ13=2,"frutta a guscio (tracce)","")),IF(AR13=1,"arachidi",IF(AR13=2,"arachidi (tracce)","")),IF(AS13=1,"soia",IF(AS13=2,"soia (tracce)","")),IF(AT13=1,"sesamo",IF(AT13=2,"sesamo (tracce)","")),IF(AU13=1,"sedano",IF(AU13=2,"sedano (tracce)","")),IF(AV13=1,"senape",IF(AV13=2,"senape (tracce)","")),IF(AW13=1,"solfiti",IF(AW13=2,"solfiti (tracce)","")),IF(AX13=1,"lupini",IF(AX13=2,"lupini (tracce)","")),IF(AY13=1,"nichel",IF(AY13=2,"nichel (tracce)","")),IF(AZ13=1,"FODMAP",IF(AZ13=2,"FODMAP (tracce)","")))</f>
        <v>latte, lattosio, FODMAP</v>
      </c>
      <c r="BB13" s="12" t="n">
        <f aca="false">ROUND(4*C13+4*D13+9*E13+2*N(F13),0)</f>
        <v>98</v>
      </c>
      <c r="BC13" s="12" t="s">
        <v>78</v>
      </c>
      <c r="BD13" s="12"/>
    </row>
    <row r="14" customFormat="false" ht="15" hidden="false" customHeight="false" outlineLevel="0" collapsed="false">
      <c r="A14" s="8" t="s">
        <v>93</v>
      </c>
      <c r="B14" s="9" t="n">
        <v>253</v>
      </c>
      <c r="C14" s="10" t="n">
        <v>0.7</v>
      </c>
      <c r="D14" s="10" t="n">
        <v>18.7</v>
      </c>
      <c r="E14" s="10" t="n">
        <v>19.5</v>
      </c>
      <c r="F14" s="11" t="n">
        <v>0</v>
      </c>
      <c r="G14" s="11" t="n">
        <v>0.7</v>
      </c>
      <c r="H14" s="11" t="n">
        <v>12</v>
      </c>
      <c r="I14" s="11" t="n">
        <v>5</v>
      </c>
      <c r="J14" s="11" t="n">
        <v>0.6</v>
      </c>
      <c r="K14" s="11" t="n">
        <v>46</v>
      </c>
      <c r="L14" s="11" t="n">
        <v>196</v>
      </c>
      <c r="M14" s="11" t="n">
        <v>102</v>
      </c>
      <c r="N14" s="11" t="n">
        <v>350</v>
      </c>
      <c r="O14" s="11" t="n">
        <v>350</v>
      </c>
      <c r="P14" s="11" t="n">
        <v>19</v>
      </c>
      <c r="Q14" s="11" t="n">
        <v>0.2</v>
      </c>
      <c r="R14" s="11" t="n">
        <v>2.3</v>
      </c>
      <c r="S14" s="11" t="n">
        <v>179</v>
      </c>
      <c r="T14" s="11" t="n">
        <v>0</v>
      </c>
      <c r="U14" s="11" t="n">
        <v>0.3</v>
      </c>
      <c r="V14" s="11" t="n">
        <v>0.4</v>
      </c>
      <c r="W14" s="11" t="n">
        <v>0.02</v>
      </c>
      <c r="X14" s="11" t="n">
        <v>0.2</v>
      </c>
      <c r="Y14" s="11" t="n">
        <v>0.1</v>
      </c>
      <c r="Z14" s="11" t="n">
        <v>0.04</v>
      </c>
      <c r="AA14" s="11" t="n">
        <v>7</v>
      </c>
      <c r="AB14" s="11" t="n">
        <v>1</v>
      </c>
      <c r="AC14" s="12" t="s">
        <v>57</v>
      </c>
      <c r="AD14" s="12" t="s">
        <v>94</v>
      </c>
      <c r="AE14" s="12" t="s">
        <v>59</v>
      </c>
      <c r="AF14" s="12" t="s">
        <v>69</v>
      </c>
      <c r="AG14" s="12"/>
      <c r="AH14" s="12" t="n">
        <v>125</v>
      </c>
      <c r="AI14" s="12" t="s">
        <v>95</v>
      </c>
      <c r="AJ14" s="13" t="n">
        <v>0</v>
      </c>
      <c r="AK14" s="13" t="n">
        <v>1</v>
      </c>
      <c r="AL14" s="13" t="n">
        <v>1</v>
      </c>
      <c r="AM14" s="13" t="n">
        <v>0</v>
      </c>
      <c r="AN14" s="13" t="n">
        <v>0</v>
      </c>
      <c r="AO14" s="13" t="n">
        <v>0</v>
      </c>
      <c r="AP14" s="13" t="n">
        <v>0</v>
      </c>
      <c r="AQ14" s="13" t="n">
        <v>0</v>
      </c>
      <c r="AR14" s="13" t="n">
        <v>0</v>
      </c>
      <c r="AS14" s="13" t="n">
        <v>0</v>
      </c>
      <c r="AT14" s="13" t="n">
        <v>0</v>
      </c>
      <c r="AU14" s="13" t="n">
        <v>0</v>
      </c>
      <c r="AV14" s="13" t="n">
        <v>0</v>
      </c>
      <c r="AW14" s="13" t="n">
        <v>0</v>
      </c>
      <c r="AX14" s="13" t="n">
        <v>0</v>
      </c>
      <c r="AY14" s="13" t="n">
        <v>0</v>
      </c>
      <c r="AZ14" s="13" t="n">
        <v>0</v>
      </c>
      <c r="BA14" s="12" t="str">
        <f aca="false">_xlfn.TEXTJOIN(", ",TRUE(),IF(AJ14=1,"glutine",IF(AJ14=2,"glutine (tracce)","")),IF(AK14=1,"latte",IF(AK14=2,"latte (tracce)","")),IF(AL14=1,"lattosio",IF(AL14=2,"lattosio (tracce)","")),IF(AM14=1,"uova",IF(AM14=2,"uova (tracce)","")),IF(AN14=1,"pesce",IF(AN14=2,"pesce (tracce)","")),IF(AO14=1,"crostacei",IF(AO14=2,"crostacei (tracce)","")),IF(AP14=1,"molluschi",IF(AP14=2,"molluschi (tracce)","")),IF(AQ14=1,"frutta a guscio",IF(AQ14=2,"frutta a guscio (tracce)","")),IF(AR14=1,"arachidi",IF(AR14=2,"arachidi (tracce)","")),IF(AS14=1,"soia",IF(AS14=2,"soia (tracce)","")),IF(AT14=1,"sesamo",IF(AT14=2,"sesamo (tracce)","")),IF(AU14=1,"sedano",IF(AU14=2,"sedano (tracce)","")),IF(AV14=1,"senape",IF(AV14=2,"senape (tracce)","")),IF(AW14=1,"solfiti",IF(AW14=2,"solfiti (tracce)","")),IF(AX14=1,"lupini",IF(AX14=2,"lupini (tracce)","")),IF(AY14=1,"nichel",IF(AY14=2,"nichel (tracce)","")),IF(AZ14=1,"FODMAP",IF(AZ14=2,"FODMAP (tracce)","")))</f>
        <v>latte, lattosio</v>
      </c>
      <c r="BB14" s="12" t="n">
        <f aca="false">ROUND(4*C14+4*D14+9*E14+2*N(F14),0)</f>
        <v>253</v>
      </c>
      <c r="BC14" s="12" t="s">
        <v>61</v>
      </c>
      <c r="BD14" s="12"/>
    </row>
    <row r="15" customFormat="false" ht="15" hidden="false" customHeight="false" outlineLevel="0" collapsed="false">
      <c r="A15" s="8" t="s">
        <v>96</v>
      </c>
      <c r="B15" s="9" t="n">
        <v>160</v>
      </c>
      <c r="C15" s="10" t="n">
        <v>1</v>
      </c>
      <c r="D15" s="10" t="n">
        <v>19.5</v>
      </c>
      <c r="E15" s="10" t="n">
        <v>8.8</v>
      </c>
      <c r="F15" s="11" t="n">
        <v>0</v>
      </c>
      <c r="G15" s="11" t="n">
        <v>1</v>
      </c>
      <c r="H15" s="11" t="n">
        <v>6</v>
      </c>
      <c r="I15" s="11"/>
      <c r="J15" s="11"/>
      <c r="K15" s="11" t="n">
        <v>30</v>
      </c>
      <c r="L15" s="11" t="n">
        <v>200</v>
      </c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2" t="s">
        <v>57</v>
      </c>
      <c r="AD15" s="12" t="s">
        <v>97</v>
      </c>
      <c r="AE15" s="12" t="s">
        <v>66</v>
      </c>
      <c r="AF15" s="12" t="s">
        <v>69</v>
      </c>
      <c r="AG15" s="12"/>
      <c r="AH15" s="12" t="n">
        <v>100</v>
      </c>
      <c r="AI15" s="12" t="s">
        <v>98</v>
      </c>
      <c r="AJ15" s="13" t="n">
        <v>0</v>
      </c>
      <c r="AK15" s="13" t="n">
        <v>1</v>
      </c>
      <c r="AL15" s="13" t="n">
        <v>1</v>
      </c>
      <c r="AM15" s="13" t="n">
        <v>0</v>
      </c>
      <c r="AN15" s="13" t="n">
        <v>0</v>
      </c>
      <c r="AO15" s="13" t="n">
        <v>0</v>
      </c>
      <c r="AP15" s="13" t="n">
        <v>0</v>
      </c>
      <c r="AQ15" s="13" t="n">
        <v>0</v>
      </c>
      <c r="AR15" s="13" t="n">
        <v>0</v>
      </c>
      <c r="AS15" s="13" t="n">
        <v>0</v>
      </c>
      <c r="AT15" s="13" t="n">
        <v>0</v>
      </c>
      <c r="AU15" s="13" t="n">
        <v>0</v>
      </c>
      <c r="AV15" s="13" t="n">
        <v>0</v>
      </c>
      <c r="AW15" s="13" t="n">
        <v>0</v>
      </c>
      <c r="AX15" s="13" t="n">
        <v>0</v>
      </c>
      <c r="AY15" s="13" t="n">
        <v>0</v>
      </c>
      <c r="AZ15" s="13" t="n">
        <v>0</v>
      </c>
      <c r="BA15" s="12" t="str">
        <f aca="false">_xlfn.TEXTJOIN(", ",TRUE(),IF(AJ15=1,"glutine",IF(AJ15=2,"glutine (tracce)","")),IF(AK15=1,"latte",IF(AK15=2,"latte (tracce)","")),IF(AL15=1,"lattosio",IF(AL15=2,"lattosio (tracce)","")),IF(AM15=1,"uova",IF(AM15=2,"uova (tracce)","")),IF(AN15=1,"pesce",IF(AN15=2,"pesce (tracce)","")),IF(AO15=1,"crostacei",IF(AO15=2,"crostacei (tracce)","")),IF(AP15=1,"molluschi",IF(AP15=2,"molluschi (tracce)","")),IF(AQ15=1,"frutta a guscio",IF(AQ15=2,"frutta a guscio (tracce)","")),IF(AR15=1,"arachidi",IF(AR15=2,"arachidi (tracce)","")),IF(AS15=1,"soia",IF(AS15=2,"soia (tracce)","")),IF(AT15=1,"sesamo",IF(AT15=2,"sesamo (tracce)","")),IF(AU15=1,"sedano",IF(AU15=2,"sedano (tracce)","")),IF(AV15=1,"senape",IF(AV15=2,"senape (tracce)","")),IF(AW15=1,"solfiti",IF(AW15=2,"solfiti (tracce)","")),IF(AX15=1,"lupini",IF(AX15=2,"lupini (tracce)","")),IF(AY15=1,"nichel",IF(AY15=2,"nichel (tracce)","")),IF(AZ15=1,"FODMAP",IF(AZ15=2,"FODMAP (tracce)","")))</f>
        <v>latte, lattosio</v>
      </c>
      <c r="BB15" s="12" t="n">
        <f aca="false">ROUND(4*C15+4*D15+9*E15+2*N(F15),0)</f>
        <v>161</v>
      </c>
      <c r="BC15" s="12" t="s">
        <v>78</v>
      </c>
      <c r="BD15" s="12"/>
    </row>
    <row r="16" customFormat="false" ht="15" hidden="false" customHeight="false" outlineLevel="0" collapsed="false">
      <c r="A16" s="8" t="s">
        <v>99</v>
      </c>
      <c r="B16" s="9" t="n">
        <v>392</v>
      </c>
      <c r="C16" s="10" t="n">
        <v>0</v>
      </c>
      <c r="D16" s="10" t="n">
        <v>33.5</v>
      </c>
      <c r="E16" s="10" t="n">
        <v>28.1</v>
      </c>
      <c r="F16" s="11" t="n">
        <v>0</v>
      </c>
      <c r="G16" s="11" t="n">
        <v>0</v>
      </c>
      <c r="H16" s="11" t="n">
        <v>18.4</v>
      </c>
      <c r="I16" s="11" t="n">
        <v>8</v>
      </c>
      <c r="J16" s="11" t="n">
        <v>0.9</v>
      </c>
      <c r="K16" s="11" t="n">
        <v>91</v>
      </c>
      <c r="L16" s="11" t="n">
        <v>600</v>
      </c>
      <c r="M16" s="11" t="n">
        <v>100</v>
      </c>
      <c r="N16" s="11" t="n">
        <v>1160</v>
      </c>
      <c r="O16" s="11" t="n">
        <v>680</v>
      </c>
      <c r="P16" s="11" t="n">
        <v>43</v>
      </c>
      <c r="Q16" s="11" t="n">
        <v>0.7</v>
      </c>
      <c r="R16" s="11" t="n">
        <v>4</v>
      </c>
      <c r="S16" s="11" t="n">
        <v>270</v>
      </c>
      <c r="T16" s="11" t="n">
        <v>0</v>
      </c>
      <c r="U16" s="11" t="n">
        <v>0.6</v>
      </c>
      <c r="V16" s="11" t="n">
        <v>0.6</v>
      </c>
      <c r="W16" s="11" t="n">
        <v>0.03</v>
      </c>
      <c r="X16" s="11" t="n">
        <v>0.37</v>
      </c>
      <c r="Y16" s="11" t="n">
        <v>0.06</v>
      </c>
      <c r="Z16" s="11" t="n">
        <v>0.09</v>
      </c>
      <c r="AA16" s="11" t="n">
        <v>7</v>
      </c>
      <c r="AB16" s="11" t="n">
        <v>1.2</v>
      </c>
      <c r="AC16" s="12" t="s">
        <v>57</v>
      </c>
      <c r="AD16" s="12" t="s">
        <v>100</v>
      </c>
      <c r="AE16" s="12" t="s">
        <v>59</v>
      </c>
      <c r="AF16" s="12" t="s">
        <v>101</v>
      </c>
      <c r="AG16" s="12"/>
      <c r="AH16" s="12"/>
      <c r="AI16" s="12"/>
      <c r="AJ16" s="13" t="n">
        <v>0</v>
      </c>
      <c r="AK16" s="13" t="n">
        <v>1</v>
      </c>
      <c r="AL16" s="13" t="n">
        <v>0</v>
      </c>
      <c r="AM16" s="13" t="n">
        <v>0</v>
      </c>
      <c r="AN16" s="13" t="n">
        <v>0</v>
      </c>
      <c r="AO16" s="13" t="n">
        <v>0</v>
      </c>
      <c r="AP16" s="13" t="n">
        <v>0</v>
      </c>
      <c r="AQ16" s="13" t="n">
        <v>0</v>
      </c>
      <c r="AR16" s="13" t="n">
        <v>0</v>
      </c>
      <c r="AS16" s="13" t="n">
        <v>0</v>
      </c>
      <c r="AT16" s="13" t="n">
        <v>0</v>
      </c>
      <c r="AU16" s="13" t="n">
        <v>0</v>
      </c>
      <c r="AV16" s="13" t="n">
        <v>0</v>
      </c>
      <c r="AW16" s="13" t="n">
        <v>0</v>
      </c>
      <c r="AX16" s="13" t="n">
        <v>0</v>
      </c>
      <c r="AY16" s="13" t="n">
        <v>0</v>
      </c>
      <c r="AZ16" s="13" t="n">
        <v>0</v>
      </c>
      <c r="BA16" s="12" t="str">
        <f aca="false">_xlfn.TEXTJOIN(", ",TRUE(),IF(AJ16=1,"glutine",IF(AJ16=2,"glutine (tracce)","")),IF(AK16=1,"latte",IF(AK16=2,"latte (tracce)","")),IF(AL16=1,"lattosio",IF(AL16=2,"lattosio (tracce)","")),IF(AM16=1,"uova",IF(AM16=2,"uova (tracce)","")),IF(AN16=1,"pesce",IF(AN16=2,"pesce (tracce)","")),IF(AO16=1,"crostacei",IF(AO16=2,"crostacei (tracce)","")),IF(AP16=1,"molluschi",IF(AP16=2,"molluschi (tracce)","")),IF(AQ16=1,"frutta a guscio",IF(AQ16=2,"frutta a guscio (tracce)","")),IF(AR16=1,"arachidi",IF(AR16=2,"arachidi (tracce)","")),IF(AS16=1,"soia",IF(AS16=2,"soia (tracce)","")),IF(AT16=1,"sesamo",IF(AT16=2,"sesamo (tracce)","")),IF(AU16=1,"sedano",IF(AU16=2,"sedano (tracce)","")),IF(AV16=1,"senape",IF(AV16=2,"senape (tracce)","")),IF(AW16=1,"solfiti",IF(AW16=2,"solfiti (tracce)","")),IF(AX16=1,"lupini",IF(AX16=2,"lupini (tracce)","")),IF(AY16=1,"nichel",IF(AY16=2,"nichel (tracce)","")),IF(AZ16=1,"FODMAP",IF(AZ16=2,"FODMAP (tracce)","")))</f>
        <v>latte</v>
      </c>
      <c r="BB16" s="12" t="n">
        <f aca="false">ROUND(4*C16+4*D16+9*E16+2*N(F16),0)</f>
        <v>387</v>
      </c>
      <c r="BC16" s="12" t="s">
        <v>61</v>
      </c>
      <c r="BD16" s="12" t="s">
        <v>102</v>
      </c>
    </row>
    <row r="17" customFormat="false" ht="15" hidden="false" customHeight="false" outlineLevel="0" collapsed="false">
      <c r="A17" s="8" t="s">
        <v>103</v>
      </c>
      <c r="B17" s="9" t="n">
        <v>398</v>
      </c>
      <c r="C17" s="10" t="n">
        <v>0</v>
      </c>
      <c r="D17" s="10" t="n">
        <v>33</v>
      </c>
      <c r="E17" s="10" t="n">
        <v>29</v>
      </c>
      <c r="F17" s="11" t="n">
        <v>0</v>
      </c>
      <c r="G17" s="11" t="n">
        <v>0</v>
      </c>
      <c r="H17" s="11" t="n">
        <v>18.5</v>
      </c>
      <c r="I17" s="11" t="n">
        <v>8.5</v>
      </c>
      <c r="J17" s="11" t="n">
        <v>1</v>
      </c>
      <c r="K17" s="11" t="n">
        <v>98</v>
      </c>
      <c r="L17" s="11" t="n">
        <v>600</v>
      </c>
      <c r="M17" s="11" t="n">
        <v>120</v>
      </c>
      <c r="N17" s="11" t="n">
        <v>1165</v>
      </c>
      <c r="O17" s="11" t="n">
        <v>692</v>
      </c>
      <c r="P17" s="11" t="n">
        <v>63</v>
      </c>
      <c r="Q17" s="11" t="n">
        <v>0.3</v>
      </c>
      <c r="R17" s="11" t="n">
        <v>4</v>
      </c>
      <c r="S17" s="11" t="n">
        <v>270</v>
      </c>
      <c r="T17" s="11" t="n">
        <v>0</v>
      </c>
      <c r="U17" s="11" t="n">
        <v>0.6</v>
      </c>
      <c r="V17" s="11" t="n">
        <v>0.6</v>
      </c>
      <c r="W17" s="11" t="n">
        <v>0.03</v>
      </c>
      <c r="X17" s="11" t="n">
        <v>0.36</v>
      </c>
      <c r="Y17" s="11" t="n">
        <v>0.06</v>
      </c>
      <c r="Z17" s="11" t="n">
        <v>0.09</v>
      </c>
      <c r="AA17" s="11" t="n">
        <v>7</v>
      </c>
      <c r="AB17" s="11" t="n">
        <v>1.2</v>
      </c>
      <c r="AC17" s="12" t="s">
        <v>57</v>
      </c>
      <c r="AD17" s="12" t="s">
        <v>104</v>
      </c>
      <c r="AE17" s="12" t="s">
        <v>59</v>
      </c>
      <c r="AF17" s="12" t="s">
        <v>101</v>
      </c>
      <c r="AG17" s="12"/>
      <c r="AH17" s="12"/>
      <c r="AI17" s="12"/>
      <c r="AJ17" s="13" t="n">
        <v>0</v>
      </c>
      <c r="AK17" s="13" t="n">
        <v>1</v>
      </c>
      <c r="AL17" s="13" t="n">
        <v>0</v>
      </c>
      <c r="AM17" s="13" t="n">
        <v>0</v>
      </c>
      <c r="AN17" s="13" t="n">
        <v>0</v>
      </c>
      <c r="AO17" s="13" t="n">
        <v>0</v>
      </c>
      <c r="AP17" s="13" t="n">
        <v>0</v>
      </c>
      <c r="AQ17" s="13" t="n">
        <v>0</v>
      </c>
      <c r="AR17" s="13" t="n">
        <v>0</v>
      </c>
      <c r="AS17" s="13" t="n">
        <v>0</v>
      </c>
      <c r="AT17" s="13" t="n">
        <v>0</v>
      </c>
      <c r="AU17" s="13" t="n">
        <v>0</v>
      </c>
      <c r="AV17" s="13" t="n">
        <v>0</v>
      </c>
      <c r="AW17" s="13" t="n">
        <v>0</v>
      </c>
      <c r="AX17" s="13" t="n">
        <v>0</v>
      </c>
      <c r="AY17" s="13" t="n">
        <v>0</v>
      </c>
      <c r="AZ17" s="13" t="n">
        <v>0</v>
      </c>
      <c r="BA17" s="12" t="str">
        <f aca="false">_xlfn.TEXTJOIN(", ",TRUE(),IF(AJ17=1,"glutine",IF(AJ17=2,"glutine (tracce)","")),IF(AK17=1,"latte",IF(AK17=2,"latte (tracce)","")),IF(AL17=1,"lattosio",IF(AL17=2,"lattosio (tracce)","")),IF(AM17=1,"uova",IF(AM17=2,"uova (tracce)","")),IF(AN17=1,"pesce",IF(AN17=2,"pesce (tracce)","")),IF(AO17=1,"crostacei",IF(AO17=2,"crostacei (tracce)","")),IF(AP17=1,"molluschi",IF(AP17=2,"molluschi (tracce)","")),IF(AQ17=1,"frutta a guscio",IF(AQ17=2,"frutta a guscio (tracce)","")),IF(AR17=1,"arachidi",IF(AR17=2,"arachidi (tracce)","")),IF(AS17=1,"soia",IF(AS17=2,"soia (tracce)","")),IF(AT17=1,"sesamo",IF(AT17=2,"sesamo (tracce)","")),IF(AU17=1,"sedano",IF(AU17=2,"sedano (tracce)","")),IF(AV17=1,"senape",IF(AV17=2,"senape (tracce)","")),IF(AW17=1,"solfiti",IF(AW17=2,"solfiti (tracce)","")),IF(AX17=1,"lupini",IF(AX17=2,"lupini (tracce)","")),IF(AY17=1,"nichel",IF(AY17=2,"nichel (tracce)","")),IF(AZ17=1,"FODMAP",IF(AZ17=2,"FODMAP (tracce)","")))</f>
        <v>latte</v>
      </c>
      <c r="BB17" s="12" t="n">
        <f aca="false">ROUND(4*C17+4*D17+9*E17+2*N(F17),0)</f>
        <v>393</v>
      </c>
      <c r="BC17" s="12" t="s">
        <v>61</v>
      </c>
      <c r="BD17" s="12" t="s">
        <v>105</v>
      </c>
    </row>
    <row r="18" customFormat="false" ht="15" hidden="false" customHeight="false" outlineLevel="0" collapsed="false">
      <c r="A18" s="8" t="s">
        <v>106</v>
      </c>
      <c r="B18" s="9" t="n">
        <v>264</v>
      </c>
      <c r="C18" s="10" t="n">
        <v>4.1</v>
      </c>
      <c r="D18" s="10" t="n">
        <v>14.2</v>
      </c>
      <c r="E18" s="10" t="n">
        <v>21.3</v>
      </c>
      <c r="F18" s="11" t="n">
        <v>0</v>
      </c>
      <c r="G18" s="11" t="n">
        <v>4.1</v>
      </c>
      <c r="H18" s="11" t="n">
        <v>15</v>
      </c>
      <c r="I18" s="11" t="n">
        <v>4.6</v>
      </c>
      <c r="J18" s="11" t="n">
        <v>0.6</v>
      </c>
      <c r="K18" s="11" t="n">
        <v>89</v>
      </c>
      <c r="L18" s="11" t="n">
        <v>1116</v>
      </c>
      <c r="M18" s="11" t="n">
        <v>62</v>
      </c>
      <c r="N18" s="11" t="n">
        <v>493</v>
      </c>
      <c r="O18" s="11" t="n">
        <v>337</v>
      </c>
      <c r="P18" s="11" t="n">
        <v>19</v>
      </c>
      <c r="Q18" s="11" t="n">
        <v>0.65</v>
      </c>
      <c r="R18" s="11" t="n">
        <v>2.88</v>
      </c>
      <c r="S18" s="11" t="n">
        <v>125</v>
      </c>
      <c r="T18" s="11" t="n">
        <v>0</v>
      </c>
      <c r="U18" s="11" t="n">
        <v>0.4</v>
      </c>
      <c r="V18" s="11" t="n">
        <v>0.18</v>
      </c>
      <c r="W18" s="11" t="n">
        <v>0.15</v>
      </c>
      <c r="X18" s="11" t="n">
        <v>0.84</v>
      </c>
      <c r="Y18" s="11" t="n">
        <v>0.99</v>
      </c>
      <c r="Z18" s="11" t="n">
        <v>0.42</v>
      </c>
      <c r="AA18" s="11" t="n">
        <v>32</v>
      </c>
      <c r="AB18" s="11" t="n">
        <v>1.69</v>
      </c>
      <c r="AC18" s="12" t="s">
        <v>57</v>
      </c>
      <c r="AD18" s="12" t="s">
        <v>107</v>
      </c>
      <c r="AE18" s="12" t="s">
        <v>59</v>
      </c>
      <c r="AF18" s="12" t="s">
        <v>69</v>
      </c>
      <c r="AG18" s="12"/>
      <c r="AH18" s="12"/>
      <c r="AI18" s="12"/>
      <c r="AJ18" s="13" t="n">
        <v>0</v>
      </c>
      <c r="AK18" s="13" t="n">
        <v>1</v>
      </c>
      <c r="AL18" s="13" t="n">
        <v>1</v>
      </c>
      <c r="AM18" s="13" t="n">
        <v>0</v>
      </c>
      <c r="AN18" s="13" t="n">
        <v>0</v>
      </c>
      <c r="AO18" s="13" t="n">
        <v>0</v>
      </c>
      <c r="AP18" s="13" t="n">
        <v>0</v>
      </c>
      <c r="AQ18" s="13" t="n">
        <v>0</v>
      </c>
      <c r="AR18" s="13" t="n">
        <v>0</v>
      </c>
      <c r="AS18" s="13" t="n">
        <v>0</v>
      </c>
      <c r="AT18" s="13" t="n">
        <v>0</v>
      </c>
      <c r="AU18" s="13" t="n">
        <v>0</v>
      </c>
      <c r="AV18" s="13" t="n">
        <v>0</v>
      </c>
      <c r="AW18" s="13" t="n">
        <v>0</v>
      </c>
      <c r="AX18" s="13" t="n">
        <v>0</v>
      </c>
      <c r="AY18" s="13" t="n">
        <v>0</v>
      </c>
      <c r="AZ18" s="13" t="n">
        <v>0</v>
      </c>
      <c r="BA18" s="12" t="str">
        <f aca="false">_xlfn.TEXTJOIN(", ",TRUE(),IF(AJ18=1,"glutine",IF(AJ18=2,"glutine (tracce)","")),IF(AK18=1,"latte",IF(AK18=2,"latte (tracce)","")),IF(AL18=1,"lattosio",IF(AL18=2,"lattosio (tracce)","")),IF(AM18=1,"uova",IF(AM18=2,"uova (tracce)","")),IF(AN18=1,"pesce",IF(AN18=2,"pesce (tracce)","")),IF(AO18=1,"crostacei",IF(AO18=2,"crostacei (tracce)","")),IF(AP18=1,"molluschi",IF(AP18=2,"molluschi (tracce)","")),IF(AQ18=1,"frutta a guscio",IF(AQ18=2,"frutta a guscio (tracce)","")),IF(AR18=1,"arachidi",IF(AR18=2,"arachidi (tracce)","")),IF(AS18=1,"soia",IF(AS18=2,"soia (tracce)","")),IF(AT18=1,"sesamo",IF(AT18=2,"sesamo (tracce)","")),IF(AU18=1,"sedano",IF(AU18=2,"sedano (tracce)","")),IF(AV18=1,"senape",IF(AV18=2,"senape (tracce)","")),IF(AW18=1,"solfiti",IF(AW18=2,"solfiti (tracce)","")),IF(AX18=1,"lupini",IF(AX18=2,"lupini (tracce)","")),IF(AY18=1,"nichel",IF(AY18=2,"nichel (tracce)","")),IF(AZ18=1,"FODMAP",IF(AZ18=2,"FODMAP (tracce)","")))</f>
        <v>latte, lattosio</v>
      </c>
      <c r="BB18" s="12" t="n">
        <f aca="false">ROUND(4*C18+4*D18+9*E18+2*N(F18),0)</f>
        <v>265</v>
      </c>
      <c r="BC18" s="12" t="s">
        <v>70</v>
      </c>
      <c r="BD18" s="12"/>
    </row>
    <row r="19" customFormat="false" ht="15" hidden="false" customHeight="false" outlineLevel="0" collapsed="false">
      <c r="A19" s="14" t="s">
        <v>108</v>
      </c>
      <c r="B19" s="15" t="n">
        <v>143</v>
      </c>
      <c r="C19" s="16" t="n">
        <v>0.7</v>
      </c>
      <c r="D19" s="16" t="n">
        <v>12.6</v>
      </c>
      <c r="E19" s="16" t="n">
        <v>9.5</v>
      </c>
      <c r="F19" s="17" t="n">
        <v>0</v>
      </c>
      <c r="G19" s="17" t="n">
        <v>0.4</v>
      </c>
      <c r="H19" s="17" t="n">
        <v>3.1</v>
      </c>
      <c r="I19" s="17" t="n">
        <v>3.7</v>
      </c>
      <c r="J19" s="17" t="n">
        <v>1.9</v>
      </c>
      <c r="K19" s="17" t="n">
        <v>372</v>
      </c>
      <c r="L19" s="17" t="n">
        <v>142</v>
      </c>
      <c r="M19" s="17" t="n">
        <v>138</v>
      </c>
      <c r="N19" s="17" t="n">
        <v>56</v>
      </c>
      <c r="O19" s="17" t="n">
        <v>198</v>
      </c>
      <c r="P19" s="17" t="n">
        <v>12</v>
      </c>
      <c r="Q19" s="17" t="n">
        <v>1.75</v>
      </c>
      <c r="R19" s="17" t="n">
        <v>1.29</v>
      </c>
      <c r="S19" s="17" t="n">
        <v>160</v>
      </c>
      <c r="T19" s="17" t="n">
        <v>0</v>
      </c>
      <c r="U19" s="17" t="n">
        <v>2</v>
      </c>
      <c r="V19" s="17" t="n">
        <v>1.05</v>
      </c>
      <c r="W19" s="17" t="n">
        <v>0.04</v>
      </c>
      <c r="X19" s="17" t="n">
        <v>0.46</v>
      </c>
      <c r="Y19" s="17" t="n">
        <v>0.08</v>
      </c>
      <c r="Z19" s="17" t="n">
        <v>0.17</v>
      </c>
      <c r="AA19" s="17" t="n">
        <v>47</v>
      </c>
      <c r="AB19" s="17" t="n">
        <v>0.89</v>
      </c>
      <c r="AC19" s="18" t="s">
        <v>109</v>
      </c>
      <c r="AD19" s="18" t="s">
        <v>110</v>
      </c>
      <c r="AE19" s="18" t="s">
        <v>66</v>
      </c>
      <c r="AF19" s="18" t="s">
        <v>69</v>
      </c>
      <c r="AG19" s="18"/>
      <c r="AH19" s="18" t="n">
        <v>55</v>
      </c>
      <c r="AI19" s="18" t="s">
        <v>111</v>
      </c>
      <c r="AJ19" s="7" t="n">
        <v>0</v>
      </c>
      <c r="AK19" s="7" t="n">
        <v>0</v>
      </c>
      <c r="AL19" s="7" t="n">
        <v>0</v>
      </c>
      <c r="AM19" s="7" t="n">
        <v>1</v>
      </c>
      <c r="AN19" s="7" t="n">
        <v>0</v>
      </c>
      <c r="AO19" s="7" t="n">
        <v>0</v>
      </c>
      <c r="AP19" s="7" t="n">
        <v>0</v>
      </c>
      <c r="AQ19" s="7" t="n">
        <v>0</v>
      </c>
      <c r="AR19" s="7" t="n">
        <v>0</v>
      </c>
      <c r="AS19" s="7" t="n">
        <v>0</v>
      </c>
      <c r="AT19" s="7" t="n">
        <v>0</v>
      </c>
      <c r="AU19" s="7" t="n">
        <v>0</v>
      </c>
      <c r="AV19" s="7" t="n">
        <v>0</v>
      </c>
      <c r="AW19" s="7" t="n">
        <v>0</v>
      </c>
      <c r="AX19" s="7" t="n">
        <v>0</v>
      </c>
      <c r="AY19" s="7" t="n">
        <v>0</v>
      </c>
      <c r="AZ19" s="7" t="n">
        <v>0</v>
      </c>
      <c r="BA19" s="18" t="str">
        <f aca="false">_xlfn.TEXTJOIN(", ",TRUE(),IF(AJ19=1,"glutine",IF(AJ19=2,"glutine (tracce)","")),IF(AK19=1,"latte",IF(AK19=2,"latte (tracce)","")),IF(AL19=1,"lattosio",IF(AL19=2,"lattosio (tracce)","")),IF(AM19=1,"uova",IF(AM19=2,"uova (tracce)","")),IF(AN19=1,"pesce",IF(AN19=2,"pesce (tracce)","")),IF(AO19=1,"crostacei",IF(AO19=2,"crostacei (tracce)","")),IF(AP19=1,"molluschi",IF(AP19=2,"molluschi (tracce)","")),IF(AQ19=1,"frutta a guscio",IF(AQ19=2,"frutta a guscio (tracce)","")),IF(AR19=1,"arachidi",IF(AR19=2,"arachidi (tracce)","")),IF(AS19=1,"soia",IF(AS19=2,"soia (tracce)","")),IF(AT19=1,"sesamo",IF(AT19=2,"sesamo (tracce)","")),IF(AU19=1,"sedano",IF(AU19=2,"sedano (tracce)","")),IF(AV19=1,"senape",IF(AV19=2,"senape (tracce)","")),IF(AW19=1,"solfiti",IF(AW19=2,"solfiti (tracce)","")),IF(AX19=1,"lupini",IF(AX19=2,"lupini (tracce)","")),IF(AY19=1,"nichel",IF(AY19=2,"nichel (tracce)","")),IF(AZ19=1,"FODMAP",IF(AZ19=2,"FODMAP (tracce)","")))</f>
        <v>uova</v>
      </c>
      <c r="BB19" s="18" t="n">
        <f aca="false">ROUND(4*C19+4*D19+9*E19+2*N(F19),0)</f>
        <v>139</v>
      </c>
      <c r="BC19" s="18" t="s">
        <v>70</v>
      </c>
      <c r="BD19" s="18"/>
    </row>
    <row r="20" customFormat="false" ht="15" hidden="false" customHeight="false" outlineLevel="0" collapsed="false">
      <c r="A20" s="19" t="s">
        <v>112</v>
      </c>
      <c r="B20" s="20" t="n">
        <v>52</v>
      </c>
      <c r="C20" s="21" t="n">
        <v>0.7</v>
      </c>
      <c r="D20" s="21" t="n">
        <v>10.9</v>
      </c>
      <c r="E20" s="21" t="n">
        <v>0.2</v>
      </c>
      <c r="F20" s="22" t="n">
        <v>0</v>
      </c>
      <c r="G20" s="22" t="n">
        <v>0.7</v>
      </c>
      <c r="H20" s="22" t="n">
        <v>0</v>
      </c>
      <c r="I20" s="22" t="n">
        <v>0</v>
      </c>
      <c r="J20" s="22" t="n">
        <v>0</v>
      </c>
      <c r="K20" s="22" t="n">
        <v>0</v>
      </c>
      <c r="L20" s="22" t="n">
        <v>166</v>
      </c>
      <c r="M20" s="22" t="n">
        <v>163</v>
      </c>
      <c r="N20" s="22" t="n">
        <v>7</v>
      </c>
      <c r="O20" s="22" t="n">
        <v>15</v>
      </c>
      <c r="P20" s="22" t="n">
        <v>11</v>
      </c>
      <c r="Q20" s="22" t="n">
        <v>0.08</v>
      </c>
      <c r="R20" s="22" t="n">
        <v>0.03</v>
      </c>
      <c r="S20" s="22" t="n">
        <v>0</v>
      </c>
      <c r="T20" s="22" t="n">
        <v>0</v>
      </c>
      <c r="U20" s="22" t="n">
        <v>0</v>
      </c>
      <c r="V20" s="22" t="n">
        <v>0</v>
      </c>
      <c r="W20" s="22" t="n">
        <v>0</v>
      </c>
      <c r="X20" s="22" t="n">
        <v>0.44</v>
      </c>
      <c r="Y20" s="22" t="n">
        <v>0.1</v>
      </c>
      <c r="Z20" s="22" t="n">
        <v>0</v>
      </c>
      <c r="AA20" s="22" t="n">
        <v>4</v>
      </c>
      <c r="AB20" s="22" t="n">
        <v>0.09</v>
      </c>
      <c r="AC20" s="23" t="s">
        <v>109</v>
      </c>
      <c r="AD20" s="23" t="s">
        <v>113</v>
      </c>
      <c r="AE20" s="23" t="s">
        <v>66</v>
      </c>
      <c r="AF20" s="23" t="s">
        <v>69</v>
      </c>
      <c r="AG20" s="23" t="n">
        <v>1.03</v>
      </c>
      <c r="AH20" s="23" t="n">
        <v>33</v>
      </c>
      <c r="AI20" s="23" t="s">
        <v>114</v>
      </c>
      <c r="AJ20" s="13" t="n">
        <v>0</v>
      </c>
      <c r="AK20" s="13" t="n">
        <v>0</v>
      </c>
      <c r="AL20" s="13" t="n">
        <v>0</v>
      </c>
      <c r="AM20" s="13" t="n">
        <v>1</v>
      </c>
      <c r="AN20" s="13" t="n">
        <v>0</v>
      </c>
      <c r="AO20" s="13" t="n">
        <v>0</v>
      </c>
      <c r="AP20" s="13" t="n">
        <v>0</v>
      </c>
      <c r="AQ20" s="13" t="n">
        <v>0</v>
      </c>
      <c r="AR20" s="13" t="n">
        <v>0</v>
      </c>
      <c r="AS20" s="13" t="n">
        <v>0</v>
      </c>
      <c r="AT20" s="13" t="n">
        <v>0</v>
      </c>
      <c r="AU20" s="13" t="n">
        <v>0</v>
      </c>
      <c r="AV20" s="13" t="n">
        <v>0</v>
      </c>
      <c r="AW20" s="13" t="n">
        <v>0</v>
      </c>
      <c r="AX20" s="13" t="n">
        <v>0</v>
      </c>
      <c r="AY20" s="13" t="n">
        <v>0</v>
      </c>
      <c r="AZ20" s="13" t="n">
        <v>0</v>
      </c>
      <c r="BA20" s="23" t="str">
        <f aca="false">_xlfn.TEXTJOIN(", ",TRUE(),IF(AJ20=1,"glutine",IF(AJ20=2,"glutine (tracce)","")),IF(AK20=1,"latte",IF(AK20=2,"latte (tracce)","")),IF(AL20=1,"lattosio",IF(AL20=2,"lattosio (tracce)","")),IF(AM20=1,"uova",IF(AM20=2,"uova (tracce)","")),IF(AN20=1,"pesce",IF(AN20=2,"pesce (tracce)","")),IF(AO20=1,"crostacei",IF(AO20=2,"crostacei (tracce)","")),IF(AP20=1,"molluschi",IF(AP20=2,"molluschi (tracce)","")),IF(AQ20=1,"frutta a guscio",IF(AQ20=2,"frutta a guscio (tracce)","")),IF(AR20=1,"arachidi",IF(AR20=2,"arachidi (tracce)","")),IF(AS20=1,"soia",IF(AS20=2,"soia (tracce)","")),IF(AT20=1,"sesamo",IF(AT20=2,"sesamo (tracce)","")),IF(AU20=1,"sedano",IF(AU20=2,"sedano (tracce)","")),IF(AV20=1,"senape",IF(AV20=2,"senape (tracce)","")),IF(AW20=1,"solfiti",IF(AW20=2,"solfiti (tracce)","")),IF(AX20=1,"lupini",IF(AX20=2,"lupini (tracce)","")),IF(AY20=1,"nichel",IF(AY20=2,"nichel (tracce)","")),IF(AZ20=1,"FODMAP",IF(AZ20=2,"FODMAP (tracce)","")))</f>
        <v>uova</v>
      </c>
      <c r="BB20" s="23" t="n">
        <f aca="false">ROUND(4*C20+4*D20+9*E20+2*N(F20),0)</f>
        <v>48</v>
      </c>
      <c r="BC20" s="23" t="s">
        <v>70</v>
      </c>
      <c r="BD20" s="23"/>
    </row>
    <row r="21" customFormat="false" ht="15" hidden="false" customHeight="false" outlineLevel="0" collapsed="false">
      <c r="A21" s="19" t="s">
        <v>115</v>
      </c>
      <c r="B21" s="20" t="n">
        <v>45</v>
      </c>
      <c r="C21" s="21" t="n">
        <v>0.7</v>
      </c>
      <c r="D21" s="21" t="n">
        <v>10.5</v>
      </c>
      <c r="E21" s="21" t="n">
        <v>0.2</v>
      </c>
      <c r="F21" s="22" t="n">
        <v>0</v>
      </c>
      <c r="G21" s="22" t="n">
        <v>0.7</v>
      </c>
      <c r="H21" s="22" t="n">
        <v>0</v>
      </c>
      <c r="I21" s="22" t="n">
        <v>0</v>
      </c>
      <c r="J21" s="22" t="n">
        <v>0</v>
      </c>
      <c r="K21" s="22" t="n">
        <v>0</v>
      </c>
      <c r="L21" s="22" t="n">
        <v>160</v>
      </c>
      <c r="M21" s="22" t="n">
        <v>150</v>
      </c>
      <c r="N21" s="22" t="n">
        <v>7</v>
      </c>
      <c r="O21" s="22" t="n">
        <v>15</v>
      </c>
      <c r="P21" s="22" t="n">
        <v>11</v>
      </c>
      <c r="Q21" s="22" t="n">
        <v>0.08</v>
      </c>
      <c r="R21" s="22" t="n">
        <v>0.03</v>
      </c>
      <c r="S21" s="22" t="n">
        <v>0</v>
      </c>
      <c r="T21" s="22" t="n">
        <v>0</v>
      </c>
      <c r="U21" s="22" t="n">
        <v>0</v>
      </c>
      <c r="V21" s="22" t="n">
        <v>0</v>
      </c>
      <c r="W21" s="22" t="n">
        <v>0</v>
      </c>
      <c r="X21" s="22" t="n">
        <v>0.4</v>
      </c>
      <c r="Y21" s="22" t="n">
        <v>0.1</v>
      </c>
      <c r="Z21" s="22" t="n">
        <v>0</v>
      </c>
      <c r="AA21" s="22" t="n">
        <v>4</v>
      </c>
      <c r="AB21" s="22" t="n">
        <v>0.09</v>
      </c>
      <c r="AC21" s="23" t="s">
        <v>109</v>
      </c>
      <c r="AD21" s="23" t="s">
        <v>116</v>
      </c>
      <c r="AE21" s="23" t="s">
        <v>66</v>
      </c>
      <c r="AF21" s="23" t="s">
        <v>69</v>
      </c>
      <c r="AG21" s="23" t="n">
        <v>1.03</v>
      </c>
      <c r="AH21" s="23"/>
      <c r="AI21" s="23"/>
      <c r="AJ21" s="13" t="n">
        <v>0</v>
      </c>
      <c r="AK21" s="13" t="n">
        <v>0</v>
      </c>
      <c r="AL21" s="13" t="n">
        <v>0</v>
      </c>
      <c r="AM21" s="13" t="n">
        <v>1</v>
      </c>
      <c r="AN21" s="13" t="n">
        <v>0</v>
      </c>
      <c r="AO21" s="13" t="n">
        <v>0</v>
      </c>
      <c r="AP21" s="13" t="n">
        <v>0</v>
      </c>
      <c r="AQ21" s="13" t="n">
        <v>0</v>
      </c>
      <c r="AR21" s="13" t="n">
        <v>0</v>
      </c>
      <c r="AS21" s="13" t="n">
        <v>0</v>
      </c>
      <c r="AT21" s="13" t="n">
        <v>0</v>
      </c>
      <c r="AU21" s="13" t="n">
        <v>0</v>
      </c>
      <c r="AV21" s="13" t="n">
        <v>0</v>
      </c>
      <c r="AW21" s="13" t="n">
        <v>0</v>
      </c>
      <c r="AX21" s="13" t="n">
        <v>0</v>
      </c>
      <c r="AY21" s="13" t="n">
        <v>0</v>
      </c>
      <c r="AZ21" s="13" t="n">
        <v>0</v>
      </c>
      <c r="BA21" s="23" t="str">
        <f aca="false">_xlfn.TEXTJOIN(", ",TRUE(),IF(AJ21=1,"glutine",IF(AJ21=2,"glutine (tracce)","")),IF(AK21=1,"latte",IF(AK21=2,"latte (tracce)","")),IF(AL21=1,"lattosio",IF(AL21=2,"lattosio (tracce)","")),IF(AM21=1,"uova",IF(AM21=2,"uova (tracce)","")),IF(AN21=1,"pesce",IF(AN21=2,"pesce (tracce)","")),IF(AO21=1,"crostacei",IF(AO21=2,"crostacei (tracce)","")),IF(AP21=1,"molluschi",IF(AP21=2,"molluschi (tracce)","")),IF(AQ21=1,"frutta a guscio",IF(AQ21=2,"frutta a guscio (tracce)","")),IF(AR21=1,"arachidi",IF(AR21=2,"arachidi (tracce)","")),IF(AS21=1,"soia",IF(AS21=2,"soia (tracce)","")),IF(AT21=1,"sesamo",IF(AT21=2,"sesamo (tracce)","")),IF(AU21=1,"sedano",IF(AU21=2,"sedano (tracce)","")),IF(AV21=1,"senape",IF(AV21=2,"senape (tracce)","")),IF(AW21=1,"solfiti",IF(AW21=2,"solfiti (tracce)","")),IF(AX21=1,"lupini",IF(AX21=2,"lupini (tracce)","")),IF(AY21=1,"nichel",IF(AY21=2,"nichel (tracce)","")),IF(AZ21=1,"FODMAP",IF(AZ21=2,"FODMAP (tracce)","")))</f>
        <v>uova</v>
      </c>
      <c r="BB21" s="23" t="n">
        <f aca="false">ROUND(4*C21+4*D21+9*E21+2*N(F21),0)</f>
        <v>47</v>
      </c>
      <c r="BC21" s="23" t="s">
        <v>78</v>
      </c>
      <c r="BD21" s="23"/>
    </row>
    <row r="22" customFormat="false" ht="15" hidden="false" customHeight="false" outlineLevel="0" collapsed="false">
      <c r="A22" s="19" t="s">
        <v>117</v>
      </c>
      <c r="B22" s="20" t="n">
        <v>322</v>
      </c>
      <c r="C22" s="21" t="n">
        <v>3.6</v>
      </c>
      <c r="D22" s="21" t="n">
        <v>15.9</v>
      </c>
      <c r="E22" s="21" t="n">
        <v>26.5</v>
      </c>
      <c r="F22" s="22" t="n">
        <v>0</v>
      </c>
      <c r="G22" s="22" t="n">
        <v>0.6</v>
      </c>
      <c r="H22" s="22" t="n">
        <v>9.6</v>
      </c>
      <c r="I22" s="22" t="n">
        <v>11.7</v>
      </c>
      <c r="J22" s="22" t="n">
        <v>4.2</v>
      </c>
      <c r="K22" s="22" t="n">
        <v>1085</v>
      </c>
      <c r="L22" s="22" t="n">
        <v>48</v>
      </c>
      <c r="M22" s="22" t="n">
        <v>109</v>
      </c>
      <c r="N22" s="22" t="n">
        <v>129</v>
      </c>
      <c r="O22" s="22" t="n">
        <v>390</v>
      </c>
      <c r="P22" s="22" t="n">
        <v>5</v>
      </c>
      <c r="Q22" s="22" t="n">
        <v>2.73</v>
      </c>
      <c r="R22" s="22" t="n">
        <v>2.3</v>
      </c>
      <c r="S22" s="22" t="n">
        <v>381</v>
      </c>
      <c r="T22" s="22" t="n">
        <v>0</v>
      </c>
      <c r="U22" s="22" t="n">
        <v>5.4</v>
      </c>
      <c r="V22" s="22" t="n">
        <v>2.58</v>
      </c>
      <c r="W22" s="22" t="n">
        <v>0.18</v>
      </c>
      <c r="X22" s="22" t="n">
        <v>0.53</v>
      </c>
      <c r="Y22" s="22" t="n">
        <v>0.02</v>
      </c>
      <c r="Z22" s="22" t="n">
        <v>0.35</v>
      </c>
      <c r="AA22" s="22" t="n">
        <v>146</v>
      </c>
      <c r="AB22" s="22" t="n">
        <v>1.95</v>
      </c>
      <c r="AC22" s="23" t="s">
        <v>109</v>
      </c>
      <c r="AD22" s="23" t="s">
        <v>118</v>
      </c>
      <c r="AE22" s="23" t="s">
        <v>119</v>
      </c>
      <c r="AF22" s="23" t="s">
        <v>69</v>
      </c>
      <c r="AG22" s="23"/>
      <c r="AH22" s="23" t="n">
        <v>17</v>
      </c>
      <c r="AI22" s="23" t="s">
        <v>120</v>
      </c>
      <c r="AJ22" s="13" t="n">
        <v>0</v>
      </c>
      <c r="AK22" s="13" t="n">
        <v>0</v>
      </c>
      <c r="AL22" s="13" t="n">
        <v>0</v>
      </c>
      <c r="AM22" s="13" t="n">
        <v>1</v>
      </c>
      <c r="AN22" s="13" t="n">
        <v>0</v>
      </c>
      <c r="AO22" s="13" t="n">
        <v>0</v>
      </c>
      <c r="AP22" s="13" t="n">
        <v>0</v>
      </c>
      <c r="AQ22" s="13" t="n">
        <v>0</v>
      </c>
      <c r="AR22" s="13" t="n">
        <v>0</v>
      </c>
      <c r="AS22" s="13" t="n">
        <v>0</v>
      </c>
      <c r="AT22" s="13" t="n">
        <v>0</v>
      </c>
      <c r="AU22" s="13" t="n">
        <v>0</v>
      </c>
      <c r="AV22" s="13" t="n">
        <v>0</v>
      </c>
      <c r="AW22" s="13" t="n">
        <v>0</v>
      </c>
      <c r="AX22" s="13" t="n">
        <v>0</v>
      </c>
      <c r="AY22" s="13" t="n">
        <v>0</v>
      </c>
      <c r="AZ22" s="13" t="n">
        <v>0</v>
      </c>
      <c r="BA22" s="23" t="str">
        <f aca="false">_xlfn.TEXTJOIN(", ",TRUE(),IF(AJ22=1,"glutine",IF(AJ22=2,"glutine (tracce)","")),IF(AK22=1,"latte",IF(AK22=2,"latte (tracce)","")),IF(AL22=1,"lattosio",IF(AL22=2,"lattosio (tracce)","")),IF(AM22=1,"uova",IF(AM22=2,"uova (tracce)","")),IF(AN22=1,"pesce",IF(AN22=2,"pesce (tracce)","")),IF(AO22=1,"crostacei",IF(AO22=2,"crostacei (tracce)","")),IF(AP22=1,"molluschi",IF(AP22=2,"molluschi (tracce)","")),IF(AQ22=1,"frutta a guscio",IF(AQ22=2,"frutta a guscio (tracce)","")),IF(AR22=1,"arachidi",IF(AR22=2,"arachidi (tracce)","")),IF(AS22=1,"soia",IF(AS22=2,"soia (tracce)","")),IF(AT22=1,"sesamo",IF(AT22=2,"sesamo (tracce)","")),IF(AU22=1,"sedano",IF(AU22=2,"sedano (tracce)","")),IF(AV22=1,"senape",IF(AV22=2,"senape (tracce)","")),IF(AW22=1,"solfiti",IF(AW22=2,"solfiti (tracce)","")),IF(AX22=1,"lupini",IF(AX22=2,"lupini (tracce)","")),IF(AY22=1,"nichel",IF(AY22=2,"nichel (tracce)","")),IF(AZ22=1,"FODMAP",IF(AZ22=2,"FODMAP (tracce)","")))</f>
        <v>uova</v>
      </c>
      <c r="BB22" s="23" t="n">
        <f aca="false">ROUND(4*C22+4*D22+9*E22+2*N(F22),0)</f>
        <v>317</v>
      </c>
      <c r="BC22" s="23" t="s">
        <v>70</v>
      </c>
      <c r="BD22" s="23"/>
    </row>
    <row r="23" customFormat="false" ht="15" hidden="false" customHeight="false" outlineLevel="0" collapsed="false">
      <c r="A23" s="2" t="s">
        <v>121</v>
      </c>
      <c r="B23" s="3" t="n">
        <v>100</v>
      </c>
      <c r="C23" s="4" t="n">
        <v>0</v>
      </c>
      <c r="D23" s="4" t="n">
        <v>23.3</v>
      </c>
      <c r="E23" s="4" t="n">
        <v>0.8</v>
      </c>
      <c r="F23" s="5" t="n">
        <v>0</v>
      </c>
      <c r="G23" s="5" t="n">
        <v>0</v>
      </c>
      <c r="H23" s="5" t="n">
        <v>0.25</v>
      </c>
      <c r="I23" s="5" t="n">
        <v>0.3</v>
      </c>
      <c r="J23" s="5" t="n">
        <v>0.2</v>
      </c>
      <c r="K23" s="5" t="n">
        <v>60</v>
      </c>
      <c r="L23" s="5" t="n">
        <v>33</v>
      </c>
      <c r="M23" s="5" t="n">
        <v>370</v>
      </c>
      <c r="N23" s="5" t="n">
        <v>4</v>
      </c>
      <c r="O23" s="5" t="n">
        <v>210</v>
      </c>
      <c r="P23" s="5" t="n">
        <v>29</v>
      </c>
      <c r="Q23" s="5" t="n">
        <v>0.4</v>
      </c>
      <c r="R23" s="5" t="n">
        <v>0.7</v>
      </c>
      <c r="S23" s="5" t="n">
        <v>6</v>
      </c>
      <c r="T23" s="5" t="n">
        <v>0</v>
      </c>
      <c r="U23" s="5" t="n">
        <v>0.1</v>
      </c>
      <c r="V23" s="5" t="n">
        <v>0.2</v>
      </c>
      <c r="W23" s="5" t="n">
        <v>0.07</v>
      </c>
      <c r="X23" s="5" t="n">
        <v>0.12</v>
      </c>
      <c r="Y23" s="5" t="n">
        <v>10.6</v>
      </c>
      <c r="Z23" s="5" t="n">
        <v>0.6</v>
      </c>
      <c r="AA23" s="5" t="n">
        <v>4</v>
      </c>
      <c r="AB23" s="5" t="n">
        <v>0.4</v>
      </c>
      <c r="AC23" s="6" t="s">
        <v>122</v>
      </c>
      <c r="AD23" s="6" t="s">
        <v>123</v>
      </c>
      <c r="AE23" s="6" t="s">
        <v>66</v>
      </c>
      <c r="AF23" s="6" t="s">
        <v>69</v>
      </c>
      <c r="AG23" s="6"/>
      <c r="AH23" s="6"/>
      <c r="AI23" s="6"/>
      <c r="AJ23" s="7" t="n">
        <v>0</v>
      </c>
      <c r="AK23" s="7" t="n">
        <v>0</v>
      </c>
      <c r="AL23" s="7" t="n">
        <v>0</v>
      </c>
      <c r="AM23" s="7" t="n">
        <v>0</v>
      </c>
      <c r="AN23" s="7" t="n">
        <v>0</v>
      </c>
      <c r="AO23" s="7" t="n">
        <v>0</v>
      </c>
      <c r="AP23" s="7" t="n">
        <v>0</v>
      </c>
      <c r="AQ23" s="7" t="n">
        <v>0</v>
      </c>
      <c r="AR23" s="7" t="n">
        <v>0</v>
      </c>
      <c r="AS23" s="7" t="n">
        <v>0</v>
      </c>
      <c r="AT23" s="7" t="n">
        <v>0</v>
      </c>
      <c r="AU23" s="7" t="n">
        <v>0</v>
      </c>
      <c r="AV23" s="7" t="n">
        <v>0</v>
      </c>
      <c r="AW23" s="7" t="n">
        <v>0</v>
      </c>
      <c r="AX23" s="7" t="n">
        <v>0</v>
      </c>
      <c r="AY23" s="7" t="n">
        <v>0</v>
      </c>
      <c r="AZ23" s="7" t="n">
        <v>0</v>
      </c>
      <c r="BA23" s="6" t="str">
        <f aca="false">_xlfn.TEXTJOIN(", ",TRUE(),IF(AJ23=1,"glutine",IF(AJ23=2,"glutine (tracce)","")),IF(AK23=1,"latte",IF(AK23=2,"latte (tracce)","")),IF(AL23=1,"lattosio",IF(AL23=2,"lattosio (tracce)","")),IF(AM23=1,"uova",IF(AM23=2,"uova (tracce)","")),IF(AN23=1,"pesce",IF(AN23=2,"pesce (tracce)","")),IF(AO23=1,"crostacei",IF(AO23=2,"crostacei (tracce)","")),IF(AP23=1,"molluschi",IF(AP23=2,"molluschi (tracce)","")),IF(AQ23=1,"frutta a guscio",IF(AQ23=2,"frutta a guscio (tracce)","")),IF(AR23=1,"arachidi",IF(AR23=2,"arachidi (tracce)","")),IF(AS23=1,"soia",IF(AS23=2,"soia (tracce)","")),IF(AT23=1,"sesamo",IF(AT23=2,"sesamo (tracce)","")),IF(AU23=1,"sedano",IF(AU23=2,"sedano (tracce)","")),IF(AV23=1,"senape",IF(AV23=2,"senape (tracce)","")),IF(AW23=1,"solfiti",IF(AW23=2,"solfiti (tracce)","")),IF(AX23=1,"lupini",IF(AX23=2,"lupini (tracce)","")),IF(AY23=1,"nichel",IF(AY23=2,"nichel (tracce)","")),IF(AZ23=1,"FODMAP",IF(AZ23=2,"FODMAP (tracce)","")))</f>
        <v/>
      </c>
      <c r="BB23" s="6" t="n">
        <f aca="false">ROUND(4*C23+4*D23+9*E23+2*N(F23),0)</f>
        <v>100</v>
      </c>
      <c r="BC23" s="6" t="s">
        <v>61</v>
      </c>
      <c r="BD23" s="6"/>
    </row>
    <row r="24" customFormat="false" ht="15" hidden="false" customHeight="false" outlineLevel="0" collapsed="false">
      <c r="A24" s="8" t="s">
        <v>124</v>
      </c>
      <c r="B24" s="9" t="n">
        <v>107</v>
      </c>
      <c r="C24" s="10" t="n">
        <v>0</v>
      </c>
      <c r="D24" s="10" t="n">
        <v>24</v>
      </c>
      <c r="E24" s="10" t="n">
        <v>1.2</v>
      </c>
      <c r="F24" s="11" t="n">
        <v>0</v>
      </c>
      <c r="G24" s="11" t="n">
        <v>0</v>
      </c>
      <c r="H24" s="11" t="n">
        <v>0.4</v>
      </c>
      <c r="I24" s="11" t="n">
        <v>0.3</v>
      </c>
      <c r="J24" s="11" t="n">
        <v>0.3</v>
      </c>
      <c r="K24" s="11" t="n">
        <v>50</v>
      </c>
      <c r="L24" s="11" t="n">
        <v>42</v>
      </c>
      <c r="M24" s="11" t="n">
        <v>360</v>
      </c>
      <c r="N24" s="11" t="n">
        <v>9</v>
      </c>
      <c r="O24" s="11" t="n">
        <v>210</v>
      </c>
      <c r="P24" s="11" t="n">
        <v>27</v>
      </c>
      <c r="Q24" s="11" t="n">
        <v>0.9</v>
      </c>
      <c r="R24" s="11" t="n">
        <v>1.2</v>
      </c>
      <c r="S24" s="11" t="n">
        <v>0</v>
      </c>
      <c r="T24" s="11" t="n">
        <v>0</v>
      </c>
      <c r="U24" s="11" t="n">
        <v>0.1</v>
      </c>
      <c r="V24" s="11" t="n">
        <v>0.1</v>
      </c>
      <c r="W24" s="11" t="n">
        <v>0.05</v>
      </c>
      <c r="X24" s="11" t="n">
        <v>0.13</v>
      </c>
      <c r="Y24" s="11" t="n">
        <v>9</v>
      </c>
      <c r="Z24" s="11" t="n">
        <v>0.65</v>
      </c>
      <c r="AA24" s="11" t="n">
        <v>7</v>
      </c>
      <c r="AB24" s="11" t="n">
        <v>0.4</v>
      </c>
      <c r="AC24" s="12" t="s">
        <v>122</v>
      </c>
      <c r="AD24" s="12" t="s">
        <v>125</v>
      </c>
      <c r="AE24" s="12" t="s">
        <v>66</v>
      </c>
      <c r="AF24" s="12" t="s">
        <v>69</v>
      </c>
      <c r="AG24" s="12"/>
      <c r="AH24" s="12"/>
      <c r="AI24" s="12"/>
      <c r="AJ24" s="13" t="n">
        <v>0</v>
      </c>
      <c r="AK24" s="13" t="n">
        <v>0</v>
      </c>
      <c r="AL24" s="13" t="n">
        <v>0</v>
      </c>
      <c r="AM24" s="13" t="n">
        <v>0</v>
      </c>
      <c r="AN24" s="13" t="n">
        <v>0</v>
      </c>
      <c r="AO24" s="13" t="n">
        <v>0</v>
      </c>
      <c r="AP24" s="13" t="n">
        <v>0</v>
      </c>
      <c r="AQ24" s="13" t="n">
        <v>0</v>
      </c>
      <c r="AR24" s="13" t="n">
        <v>0</v>
      </c>
      <c r="AS24" s="13" t="n">
        <v>0</v>
      </c>
      <c r="AT24" s="13" t="n">
        <v>0</v>
      </c>
      <c r="AU24" s="13" t="n">
        <v>0</v>
      </c>
      <c r="AV24" s="13" t="n">
        <v>0</v>
      </c>
      <c r="AW24" s="13" t="n">
        <v>0</v>
      </c>
      <c r="AX24" s="13" t="n">
        <v>0</v>
      </c>
      <c r="AY24" s="13" t="n">
        <v>0</v>
      </c>
      <c r="AZ24" s="13" t="n">
        <v>0</v>
      </c>
      <c r="BA24" s="12" t="str">
        <f aca="false">_xlfn.TEXTJOIN(", ",TRUE(),IF(AJ24=1,"glutine",IF(AJ24=2,"glutine (tracce)","")),IF(AK24=1,"latte",IF(AK24=2,"latte (tracce)","")),IF(AL24=1,"lattosio",IF(AL24=2,"lattosio (tracce)","")),IF(AM24=1,"uova",IF(AM24=2,"uova (tracce)","")),IF(AN24=1,"pesce",IF(AN24=2,"pesce (tracce)","")),IF(AO24=1,"crostacei",IF(AO24=2,"crostacei (tracce)","")),IF(AP24=1,"molluschi",IF(AP24=2,"molluschi (tracce)","")),IF(AQ24=1,"frutta a guscio",IF(AQ24=2,"frutta a guscio (tracce)","")),IF(AR24=1,"arachidi",IF(AR24=2,"arachidi (tracce)","")),IF(AS24=1,"soia",IF(AS24=2,"soia (tracce)","")),IF(AT24=1,"sesamo",IF(AT24=2,"sesamo (tracce)","")),IF(AU24=1,"sedano",IF(AU24=2,"sedano (tracce)","")),IF(AV24=1,"senape",IF(AV24=2,"senape (tracce)","")),IF(AW24=1,"solfiti",IF(AW24=2,"solfiti (tracce)","")),IF(AX24=1,"lupini",IF(AX24=2,"lupini (tracce)","")),IF(AY24=1,"nichel",IF(AY24=2,"nichel (tracce)","")),IF(AZ24=1,"FODMAP",IF(AZ24=2,"FODMAP (tracce)","")))</f>
        <v/>
      </c>
      <c r="BB24" s="12" t="n">
        <f aca="false">ROUND(4*C24+4*D24+9*E24+2*N(F24),0)</f>
        <v>107</v>
      </c>
      <c r="BC24" s="12" t="s">
        <v>61</v>
      </c>
      <c r="BD24" s="12"/>
    </row>
    <row r="25" customFormat="false" ht="15" hidden="false" customHeight="false" outlineLevel="0" collapsed="false">
      <c r="A25" s="8" t="s">
        <v>126</v>
      </c>
      <c r="B25" s="9" t="n">
        <v>121</v>
      </c>
      <c r="C25" s="10" t="n">
        <v>0</v>
      </c>
      <c r="D25" s="10" t="n">
        <v>19.7</v>
      </c>
      <c r="E25" s="10" t="n">
        <v>4.1</v>
      </c>
      <c r="F25" s="11" t="n">
        <v>0</v>
      </c>
      <c r="G25" s="11" t="n">
        <v>0</v>
      </c>
      <c r="H25" s="11" t="n">
        <v>1</v>
      </c>
      <c r="I25" s="11" t="n">
        <v>1.25</v>
      </c>
      <c r="J25" s="11" t="n">
        <v>0.9</v>
      </c>
      <c r="K25" s="11" t="n">
        <v>94</v>
      </c>
      <c r="L25" s="11" t="n">
        <v>95</v>
      </c>
      <c r="M25" s="11" t="n">
        <v>237</v>
      </c>
      <c r="N25" s="11" t="n">
        <v>9</v>
      </c>
      <c r="O25" s="11" t="n">
        <v>186</v>
      </c>
      <c r="P25" s="11" t="n">
        <v>23</v>
      </c>
      <c r="Q25" s="11" t="n">
        <v>0.8</v>
      </c>
      <c r="R25" s="11" t="n">
        <v>1.6</v>
      </c>
      <c r="S25" s="11" t="n">
        <v>18</v>
      </c>
      <c r="T25" s="11" t="n">
        <v>0</v>
      </c>
      <c r="U25" s="11" t="n">
        <v>0.1</v>
      </c>
      <c r="V25" s="11" t="n">
        <v>0.2</v>
      </c>
      <c r="W25" s="11" t="n">
        <v>0.08</v>
      </c>
      <c r="X25" s="11" t="n">
        <v>0.18</v>
      </c>
      <c r="Y25" s="11" t="n">
        <v>5.8</v>
      </c>
      <c r="Z25" s="11" t="n">
        <v>0.42</v>
      </c>
      <c r="AA25" s="11" t="n">
        <v>9</v>
      </c>
      <c r="AB25" s="11" t="n">
        <v>0.5</v>
      </c>
      <c r="AC25" s="12" t="s">
        <v>122</v>
      </c>
      <c r="AD25" s="12" t="s">
        <v>127</v>
      </c>
      <c r="AE25" s="12" t="s">
        <v>66</v>
      </c>
      <c r="AF25" s="12" t="s">
        <v>69</v>
      </c>
      <c r="AG25" s="12"/>
      <c r="AH25" s="12"/>
      <c r="AI25" s="12"/>
      <c r="AJ25" s="13" t="n">
        <v>0</v>
      </c>
      <c r="AK25" s="13" t="n">
        <v>0</v>
      </c>
      <c r="AL25" s="13" t="n">
        <v>0</v>
      </c>
      <c r="AM25" s="13" t="n">
        <v>0</v>
      </c>
      <c r="AN25" s="13" t="n">
        <v>0</v>
      </c>
      <c r="AO25" s="13" t="n">
        <v>0</v>
      </c>
      <c r="AP25" s="13" t="n">
        <v>0</v>
      </c>
      <c r="AQ25" s="13" t="n">
        <v>0</v>
      </c>
      <c r="AR25" s="13" t="n">
        <v>0</v>
      </c>
      <c r="AS25" s="13" t="n">
        <v>0</v>
      </c>
      <c r="AT25" s="13" t="n">
        <v>0</v>
      </c>
      <c r="AU25" s="13" t="n">
        <v>0</v>
      </c>
      <c r="AV25" s="13" t="n">
        <v>0</v>
      </c>
      <c r="AW25" s="13" t="n">
        <v>0</v>
      </c>
      <c r="AX25" s="13" t="n">
        <v>0</v>
      </c>
      <c r="AY25" s="13" t="n">
        <v>0</v>
      </c>
      <c r="AZ25" s="13" t="n">
        <v>0</v>
      </c>
      <c r="BA25" s="12" t="str">
        <f aca="false">_xlfn.TEXTJOIN(", ",TRUE(),IF(AJ25=1,"glutine",IF(AJ25=2,"glutine (tracce)","")),IF(AK25=1,"latte",IF(AK25=2,"latte (tracce)","")),IF(AL25=1,"lattosio",IF(AL25=2,"lattosio (tracce)","")),IF(AM25=1,"uova",IF(AM25=2,"uova (tracce)","")),IF(AN25=1,"pesce",IF(AN25=2,"pesce (tracce)","")),IF(AO25=1,"crostacei",IF(AO25=2,"crostacei (tracce)","")),IF(AP25=1,"molluschi",IF(AP25=2,"molluschi (tracce)","")),IF(AQ25=1,"frutta a guscio",IF(AQ25=2,"frutta a guscio (tracce)","")),IF(AR25=1,"arachidi",IF(AR25=2,"arachidi (tracce)","")),IF(AS25=1,"soia",IF(AS25=2,"soia (tracce)","")),IF(AT25=1,"sesamo",IF(AT25=2,"sesamo (tracce)","")),IF(AU25=1,"sedano",IF(AU25=2,"sedano (tracce)","")),IF(AV25=1,"senape",IF(AV25=2,"senape (tracce)","")),IF(AW25=1,"solfiti",IF(AW25=2,"solfiti (tracce)","")),IF(AX25=1,"lupini",IF(AX25=2,"lupini (tracce)","")),IF(AY25=1,"nichel",IF(AY25=2,"nichel (tracce)","")),IF(AZ25=1,"FODMAP",IF(AZ25=2,"FODMAP (tracce)","")))</f>
        <v/>
      </c>
      <c r="BB25" s="12" t="n">
        <f aca="false">ROUND(4*C25+4*D25+9*E25+2*N(F25),0)</f>
        <v>116</v>
      </c>
      <c r="BC25" s="12" t="s">
        <v>70</v>
      </c>
      <c r="BD25" s="12"/>
    </row>
    <row r="26" customFormat="false" ht="15" hidden="false" customHeight="false" outlineLevel="0" collapsed="false">
      <c r="A26" s="8" t="s">
        <v>128</v>
      </c>
      <c r="B26" s="9" t="n">
        <v>113</v>
      </c>
      <c r="C26" s="10" t="n">
        <v>0</v>
      </c>
      <c r="D26" s="10" t="n">
        <v>21.8</v>
      </c>
      <c r="E26" s="10" t="n">
        <v>2.9</v>
      </c>
      <c r="F26" s="11" t="n">
        <v>0</v>
      </c>
      <c r="G26" s="11" t="n">
        <v>0</v>
      </c>
      <c r="H26" s="11" t="n">
        <v>1.1</v>
      </c>
      <c r="I26" s="11" t="n">
        <v>1.2</v>
      </c>
      <c r="J26" s="11" t="n">
        <v>0.15</v>
      </c>
      <c r="K26" s="11" t="n">
        <v>60</v>
      </c>
      <c r="L26" s="11" t="n">
        <v>50</v>
      </c>
      <c r="M26" s="11" t="n">
        <v>330</v>
      </c>
      <c r="N26" s="11" t="n">
        <v>5</v>
      </c>
      <c r="O26" s="11" t="n">
        <v>200</v>
      </c>
      <c r="P26" s="11" t="n">
        <v>22</v>
      </c>
      <c r="Q26" s="11" t="n">
        <v>1.9</v>
      </c>
      <c r="R26" s="11" t="n">
        <v>4</v>
      </c>
      <c r="S26" s="11" t="n">
        <v>0</v>
      </c>
      <c r="T26" s="11" t="n">
        <v>0</v>
      </c>
      <c r="U26" s="11" t="n">
        <v>0.1</v>
      </c>
      <c r="V26" s="11" t="n">
        <v>0.3</v>
      </c>
      <c r="W26" s="11" t="n">
        <v>0.08</v>
      </c>
      <c r="X26" s="11" t="n">
        <v>0.17</v>
      </c>
      <c r="Y26" s="11" t="n">
        <v>5.5</v>
      </c>
      <c r="Z26" s="11" t="n">
        <v>0.5</v>
      </c>
      <c r="AA26" s="11" t="n">
        <v>8</v>
      </c>
      <c r="AB26" s="11" t="n">
        <v>2</v>
      </c>
      <c r="AC26" s="12" t="s">
        <v>122</v>
      </c>
      <c r="AD26" s="12" t="s">
        <v>129</v>
      </c>
      <c r="AE26" s="12" t="s">
        <v>66</v>
      </c>
      <c r="AF26" s="12" t="s">
        <v>69</v>
      </c>
      <c r="AG26" s="12"/>
      <c r="AH26" s="12"/>
      <c r="AI26" s="12"/>
      <c r="AJ26" s="13" t="n">
        <v>0</v>
      </c>
      <c r="AK26" s="13" t="n">
        <v>0</v>
      </c>
      <c r="AL26" s="13" t="n">
        <v>0</v>
      </c>
      <c r="AM26" s="13" t="n">
        <v>0</v>
      </c>
      <c r="AN26" s="13" t="n">
        <v>0</v>
      </c>
      <c r="AO26" s="13" t="n">
        <v>0</v>
      </c>
      <c r="AP26" s="13" t="n">
        <v>0</v>
      </c>
      <c r="AQ26" s="13" t="n">
        <v>0</v>
      </c>
      <c r="AR26" s="13" t="n">
        <v>0</v>
      </c>
      <c r="AS26" s="13" t="n">
        <v>0</v>
      </c>
      <c r="AT26" s="13" t="n">
        <v>0</v>
      </c>
      <c r="AU26" s="13" t="n">
        <v>0</v>
      </c>
      <c r="AV26" s="13" t="n">
        <v>0</v>
      </c>
      <c r="AW26" s="13" t="n">
        <v>0</v>
      </c>
      <c r="AX26" s="13" t="n">
        <v>0</v>
      </c>
      <c r="AY26" s="13" t="n">
        <v>0</v>
      </c>
      <c r="AZ26" s="13" t="n">
        <v>0</v>
      </c>
      <c r="BA26" s="12" t="str">
        <f aca="false">_xlfn.TEXTJOIN(", ",TRUE(),IF(AJ26=1,"glutine",IF(AJ26=2,"glutine (tracce)","")),IF(AK26=1,"latte",IF(AK26=2,"latte (tracce)","")),IF(AL26=1,"lattosio",IF(AL26=2,"lattosio (tracce)","")),IF(AM26=1,"uova",IF(AM26=2,"uova (tracce)","")),IF(AN26=1,"pesce",IF(AN26=2,"pesce (tracce)","")),IF(AO26=1,"crostacei",IF(AO26=2,"crostacei (tracce)","")),IF(AP26=1,"molluschi",IF(AP26=2,"molluschi (tracce)","")),IF(AQ26=1,"frutta a guscio",IF(AQ26=2,"frutta a guscio (tracce)","")),IF(AR26=1,"arachidi",IF(AR26=2,"arachidi (tracce)","")),IF(AS26=1,"soia",IF(AS26=2,"soia (tracce)","")),IF(AT26=1,"sesamo",IF(AT26=2,"sesamo (tracce)","")),IF(AU26=1,"sedano",IF(AU26=2,"sedano (tracce)","")),IF(AV26=1,"senape",IF(AV26=2,"senape (tracce)","")),IF(AW26=1,"solfiti",IF(AW26=2,"solfiti (tracce)","")),IF(AX26=1,"lupini",IF(AX26=2,"lupini (tracce)","")),IF(AY26=1,"nichel",IF(AY26=2,"nichel (tracce)","")),IF(AZ26=1,"FODMAP",IF(AZ26=2,"FODMAP (tracce)","")))</f>
        <v/>
      </c>
      <c r="BB26" s="12" t="n">
        <f aca="false">ROUND(4*C26+4*D26+9*E26+2*N(F26),0)</f>
        <v>113</v>
      </c>
      <c r="BC26" s="12" t="s">
        <v>61</v>
      </c>
      <c r="BD26" s="12"/>
    </row>
    <row r="27" customFormat="false" ht="15" hidden="false" customHeight="false" outlineLevel="0" collapsed="false">
      <c r="A27" s="8" t="s">
        <v>130</v>
      </c>
      <c r="B27" s="9" t="n">
        <v>137</v>
      </c>
      <c r="C27" s="10" t="n">
        <v>0</v>
      </c>
      <c r="D27" s="10" t="n">
        <v>21.4</v>
      </c>
      <c r="E27" s="10" t="n">
        <v>5</v>
      </c>
      <c r="F27" s="11" t="n">
        <v>0</v>
      </c>
      <c r="G27" s="11" t="n">
        <v>0</v>
      </c>
      <c r="H27" s="11" t="n">
        <v>2.3</v>
      </c>
      <c r="I27" s="11" t="n">
        <v>2.1</v>
      </c>
      <c r="J27" s="11" t="n">
        <v>0.3</v>
      </c>
      <c r="K27" s="11" t="n">
        <v>62</v>
      </c>
      <c r="L27" s="11" t="n">
        <v>66</v>
      </c>
      <c r="M27" s="11" t="n">
        <v>343</v>
      </c>
      <c r="N27" s="11" t="n">
        <v>6</v>
      </c>
      <c r="O27" s="11" t="n">
        <v>199</v>
      </c>
      <c r="P27" s="11" t="n">
        <v>21</v>
      </c>
      <c r="Q27" s="11" t="n">
        <v>2.4</v>
      </c>
      <c r="R27" s="11" t="n">
        <v>5.4</v>
      </c>
      <c r="S27" s="11" t="n">
        <v>0</v>
      </c>
      <c r="T27" s="11" t="n">
        <v>0</v>
      </c>
      <c r="U27" s="11" t="n">
        <v>0.1</v>
      </c>
      <c r="V27" s="11" t="n">
        <v>0.2</v>
      </c>
      <c r="W27" s="11" t="n">
        <v>0.05</v>
      </c>
      <c r="X27" s="11" t="n">
        <v>0.16</v>
      </c>
      <c r="Y27" s="11" t="n">
        <v>6</v>
      </c>
      <c r="Z27" s="11" t="n">
        <v>0.37</v>
      </c>
      <c r="AA27" s="11" t="n">
        <v>7</v>
      </c>
      <c r="AB27" s="11" t="n">
        <v>2.2</v>
      </c>
      <c r="AC27" s="12" t="s">
        <v>122</v>
      </c>
      <c r="AD27" s="12" t="s">
        <v>131</v>
      </c>
      <c r="AE27" s="12" t="s">
        <v>66</v>
      </c>
      <c r="AF27" s="12" t="s">
        <v>69</v>
      </c>
      <c r="AG27" s="12"/>
      <c r="AH27" s="12"/>
      <c r="AI27" s="12"/>
      <c r="AJ27" s="13" t="n">
        <v>0</v>
      </c>
      <c r="AK27" s="13" t="n">
        <v>0</v>
      </c>
      <c r="AL27" s="13" t="n">
        <v>0</v>
      </c>
      <c r="AM27" s="13" t="n">
        <v>0</v>
      </c>
      <c r="AN27" s="13" t="n">
        <v>0</v>
      </c>
      <c r="AO27" s="13" t="n">
        <v>0</v>
      </c>
      <c r="AP27" s="13" t="n">
        <v>0</v>
      </c>
      <c r="AQ27" s="13" t="n">
        <v>0</v>
      </c>
      <c r="AR27" s="13" t="n">
        <v>0</v>
      </c>
      <c r="AS27" s="13" t="n">
        <v>0</v>
      </c>
      <c r="AT27" s="13" t="n">
        <v>0</v>
      </c>
      <c r="AU27" s="13" t="n">
        <v>0</v>
      </c>
      <c r="AV27" s="13" t="n">
        <v>0</v>
      </c>
      <c r="AW27" s="13" t="n">
        <v>0</v>
      </c>
      <c r="AX27" s="13" t="n">
        <v>0</v>
      </c>
      <c r="AY27" s="13" t="n">
        <v>0</v>
      </c>
      <c r="AZ27" s="13" t="n">
        <v>0</v>
      </c>
      <c r="BA27" s="12" t="str">
        <f aca="false">_xlfn.TEXTJOIN(", ",TRUE(),IF(AJ27=1,"glutine",IF(AJ27=2,"glutine (tracce)","")),IF(AK27=1,"latte",IF(AK27=2,"latte (tracce)","")),IF(AL27=1,"lattosio",IF(AL27=2,"lattosio (tracce)","")),IF(AM27=1,"uova",IF(AM27=2,"uova (tracce)","")),IF(AN27=1,"pesce",IF(AN27=2,"pesce (tracce)","")),IF(AO27=1,"crostacei",IF(AO27=2,"crostacei (tracce)","")),IF(AP27=1,"molluschi",IF(AP27=2,"molluschi (tracce)","")),IF(AQ27=1,"frutta a guscio",IF(AQ27=2,"frutta a guscio (tracce)","")),IF(AR27=1,"arachidi",IF(AR27=2,"arachidi (tracce)","")),IF(AS27=1,"soia",IF(AS27=2,"soia (tracce)","")),IF(AT27=1,"sesamo",IF(AT27=2,"sesamo (tracce)","")),IF(AU27=1,"sedano",IF(AU27=2,"sedano (tracce)","")),IF(AV27=1,"senape",IF(AV27=2,"senape (tracce)","")),IF(AW27=1,"solfiti",IF(AW27=2,"solfiti (tracce)","")),IF(AX27=1,"lupini",IF(AX27=2,"lupini (tracce)","")),IF(AY27=1,"nichel",IF(AY27=2,"nichel (tracce)","")),IF(AZ27=1,"FODMAP",IF(AZ27=2,"FODMAP (tracce)","")))</f>
        <v/>
      </c>
      <c r="BB27" s="12" t="n">
        <f aca="false">ROUND(4*C27+4*D27+9*E27+2*N(F27),0)</f>
        <v>131</v>
      </c>
      <c r="BC27" s="12" t="s">
        <v>70</v>
      </c>
      <c r="BD27" s="12"/>
    </row>
    <row r="28" customFormat="false" ht="15" hidden="false" customHeight="false" outlineLevel="0" collapsed="false">
      <c r="A28" s="8" t="s">
        <v>132</v>
      </c>
      <c r="B28" s="9" t="n">
        <v>92</v>
      </c>
      <c r="C28" s="10" t="n">
        <v>0</v>
      </c>
      <c r="D28" s="10" t="n">
        <v>20.7</v>
      </c>
      <c r="E28" s="10" t="n">
        <v>1</v>
      </c>
      <c r="F28" s="11" t="n">
        <v>0</v>
      </c>
      <c r="G28" s="11" t="n">
        <v>0</v>
      </c>
      <c r="H28" s="11" t="n">
        <v>0.4</v>
      </c>
      <c r="I28" s="11" t="n">
        <v>0.3</v>
      </c>
      <c r="J28" s="11" t="n">
        <v>0.2</v>
      </c>
      <c r="K28" s="11" t="n">
        <v>70</v>
      </c>
      <c r="L28" s="11" t="n">
        <v>50</v>
      </c>
      <c r="M28" s="11" t="n">
        <v>340</v>
      </c>
      <c r="N28" s="11" t="n">
        <v>7</v>
      </c>
      <c r="O28" s="11" t="n">
        <v>190</v>
      </c>
      <c r="P28" s="11" t="n">
        <v>20</v>
      </c>
      <c r="Q28" s="11" t="n">
        <v>0.8</v>
      </c>
      <c r="R28" s="11" t="n">
        <v>3</v>
      </c>
      <c r="S28" s="11" t="n">
        <v>0</v>
      </c>
      <c r="T28" s="11" t="n">
        <v>0</v>
      </c>
      <c r="U28" s="11" t="n">
        <v>0.1</v>
      </c>
      <c r="V28" s="11" t="n">
        <v>0.2</v>
      </c>
      <c r="W28" s="11" t="n">
        <v>0.07</v>
      </c>
      <c r="X28" s="11" t="n">
        <v>0.2</v>
      </c>
      <c r="Y28" s="11" t="n">
        <v>6.8</v>
      </c>
      <c r="Z28" s="11" t="n">
        <v>0.5</v>
      </c>
      <c r="AA28" s="11" t="n">
        <v>15</v>
      </c>
      <c r="AB28" s="11" t="n">
        <v>1.2</v>
      </c>
      <c r="AC28" s="12" t="s">
        <v>122</v>
      </c>
      <c r="AD28" s="12" t="s">
        <v>133</v>
      </c>
      <c r="AE28" s="12" t="s">
        <v>66</v>
      </c>
      <c r="AF28" s="12" t="s">
        <v>69</v>
      </c>
      <c r="AG28" s="12"/>
      <c r="AH28" s="12"/>
      <c r="AI28" s="12"/>
      <c r="AJ28" s="13" t="n">
        <v>0</v>
      </c>
      <c r="AK28" s="13" t="n">
        <v>0</v>
      </c>
      <c r="AL28" s="13" t="n">
        <v>0</v>
      </c>
      <c r="AM28" s="13" t="n">
        <v>0</v>
      </c>
      <c r="AN28" s="13" t="n">
        <v>0</v>
      </c>
      <c r="AO28" s="13" t="n">
        <v>0</v>
      </c>
      <c r="AP28" s="13" t="n">
        <v>0</v>
      </c>
      <c r="AQ28" s="13" t="n">
        <v>0</v>
      </c>
      <c r="AR28" s="13" t="n">
        <v>0</v>
      </c>
      <c r="AS28" s="13" t="n">
        <v>0</v>
      </c>
      <c r="AT28" s="13" t="n">
        <v>0</v>
      </c>
      <c r="AU28" s="13" t="n">
        <v>0</v>
      </c>
      <c r="AV28" s="13" t="n">
        <v>0</v>
      </c>
      <c r="AW28" s="13" t="n">
        <v>0</v>
      </c>
      <c r="AX28" s="13" t="n">
        <v>0</v>
      </c>
      <c r="AY28" s="13" t="n">
        <v>0</v>
      </c>
      <c r="AZ28" s="13" t="n">
        <v>0</v>
      </c>
      <c r="BA28" s="12" t="str">
        <f aca="false">_xlfn.TEXTJOIN(", ",TRUE(),IF(AJ28=1,"glutine",IF(AJ28=2,"glutine (tracce)","")),IF(AK28=1,"latte",IF(AK28=2,"latte (tracce)","")),IF(AL28=1,"lattosio",IF(AL28=2,"lattosio (tracce)","")),IF(AM28=1,"uova",IF(AM28=2,"uova (tracce)","")),IF(AN28=1,"pesce",IF(AN28=2,"pesce (tracce)","")),IF(AO28=1,"crostacei",IF(AO28=2,"crostacei (tracce)","")),IF(AP28=1,"molluschi",IF(AP28=2,"molluschi (tracce)","")),IF(AQ28=1,"frutta a guscio",IF(AQ28=2,"frutta a guscio (tracce)","")),IF(AR28=1,"arachidi",IF(AR28=2,"arachidi (tracce)","")),IF(AS28=1,"soia",IF(AS28=2,"soia (tracce)","")),IF(AT28=1,"sesamo",IF(AT28=2,"sesamo (tracce)","")),IF(AU28=1,"sedano",IF(AU28=2,"sedano (tracce)","")),IF(AV28=1,"senape",IF(AV28=2,"senape (tracce)","")),IF(AW28=1,"solfiti",IF(AW28=2,"solfiti (tracce)","")),IF(AX28=1,"lupini",IF(AX28=2,"lupini (tracce)","")),IF(AY28=1,"nichel",IF(AY28=2,"nichel (tracce)","")),IF(AZ28=1,"FODMAP",IF(AZ28=2,"FODMAP (tracce)","")))</f>
        <v/>
      </c>
      <c r="BB28" s="12" t="n">
        <f aca="false">ROUND(4*C28+4*D28+9*E28+2*N(F28),0)</f>
        <v>92</v>
      </c>
      <c r="BC28" s="12" t="s">
        <v>61</v>
      </c>
      <c r="BD28" s="12"/>
    </row>
    <row r="29" customFormat="false" ht="15" hidden="false" customHeight="false" outlineLevel="0" collapsed="false">
      <c r="A29" s="8" t="s">
        <v>134</v>
      </c>
      <c r="B29" s="9" t="n">
        <v>138</v>
      </c>
      <c r="C29" s="10" t="n">
        <v>0</v>
      </c>
      <c r="D29" s="10" t="n">
        <v>21.4</v>
      </c>
      <c r="E29" s="10" t="n">
        <v>5.8</v>
      </c>
      <c r="F29" s="11" t="n">
        <v>0</v>
      </c>
      <c r="G29" s="11" t="n">
        <v>0</v>
      </c>
      <c r="H29" s="11" t="n">
        <v>2</v>
      </c>
      <c r="I29" s="11" t="n">
        <v>2.5</v>
      </c>
      <c r="J29" s="11" t="n">
        <v>0.7</v>
      </c>
      <c r="K29" s="11" t="n">
        <v>62</v>
      </c>
      <c r="L29" s="11" t="n">
        <v>52</v>
      </c>
      <c r="M29" s="11" t="n">
        <v>360</v>
      </c>
      <c r="N29" s="11" t="n">
        <v>6</v>
      </c>
      <c r="O29" s="11" t="n">
        <v>220</v>
      </c>
      <c r="P29" s="11" t="n">
        <v>25</v>
      </c>
      <c r="Q29" s="11" t="n">
        <v>0.8</v>
      </c>
      <c r="R29" s="11" t="n">
        <v>1.9</v>
      </c>
      <c r="S29" s="11" t="n">
        <v>2</v>
      </c>
      <c r="T29" s="11" t="n">
        <v>0</v>
      </c>
      <c r="U29" s="11" t="n">
        <v>0.6</v>
      </c>
      <c r="V29" s="11" t="n">
        <v>0.2</v>
      </c>
      <c r="W29" s="11" t="n">
        <v>0.9</v>
      </c>
      <c r="X29" s="11" t="n">
        <v>0.25</v>
      </c>
      <c r="Y29" s="11" t="n">
        <v>7</v>
      </c>
      <c r="Z29" s="11" t="n">
        <v>0.6</v>
      </c>
      <c r="AA29" s="11" t="n">
        <v>1</v>
      </c>
      <c r="AB29" s="11" t="n">
        <v>0.6</v>
      </c>
      <c r="AC29" s="12" t="s">
        <v>122</v>
      </c>
      <c r="AD29" s="12" t="s">
        <v>135</v>
      </c>
      <c r="AE29" s="12" t="s">
        <v>66</v>
      </c>
      <c r="AF29" s="12" t="s">
        <v>69</v>
      </c>
      <c r="AG29" s="12"/>
      <c r="AH29" s="12"/>
      <c r="AI29" s="12"/>
      <c r="AJ29" s="13" t="n">
        <v>0</v>
      </c>
      <c r="AK29" s="13" t="n">
        <v>0</v>
      </c>
      <c r="AL29" s="13" t="n">
        <v>0</v>
      </c>
      <c r="AM29" s="13" t="n">
        <v>0</v>
      </c>
      <c r="AN29" s="13" t="n">
        <v>0</v>
      </c>
      <c r="AO29" s="13" t="n">
        <v>0</v>
      </c>
      <c r="AP29" s="13" t="n">
        <v>0</v>
      </c>
      <c r="AQ29" s="13" t="n">
        <v>0</v>
      </c>
      <c r="AR29" s="13" t="n">
        <v>0</v>
      </c>
      <c r="AS29" s="13" t="n">
        <v>0</v>
      </c>
      <c r="AT29" s="13" t="n">
        <v>0</v>
      </c>
      <c r="AU29" s="13" t="n">
        <v>0</v>
      </c>
      <c r="AV29" s="13" t="n">
        <v>0</v>
      </c>
      <c r="AW29" s="13" t="n">
        <v>0</v>
      </c>
      <c r="AX29" s="13" t="n">
        <v>0</v>
      </c>
      <c r="AY29" s="13" t="n">
        <v>0</v>
      </c>
      <c r="AZ29" s="13" t="n">
        <v>0</v>
      </c>
      <c r="BA29" s="12" t="str">
        <f aca="false">_xlfn.TEXTJOIN(", ",TRUE(),IF(AJ29=1,"glutine",IF(AJ29=2,"glutine (tracce)","")),IF(AK29=1,"latte",IF(AK29=2,"latte (tracce)","")),IF(AL29=1,"lattosio",IF(AL29=2,"lattosio (tracce)","")),IF(AM29=1,"uova",IF(AM29=2,"uova (tracce)","")),IF(AN29=1,"pesce",IF(AN29=2,"pesce (tracce)","")),IF(AO29=1,"crostacei",IF(AO29=2,"crostacei (tracce)","")),IF(AP29=1,"molluschi",IF(AP29=2,"molluschi (tracce)","")),IF(AQ29=1,"frutta a guscio",IF(AQ29=2,"frutta a guscio (tracce)","")),IF(AR29=1,"arachidi",IF(AR29=2,"arachidi (tracce)","")),IF(AS29=1,"soia",IF(AS29=2,"soia (tracce)","")),IF(AT29=1,"sesamo",IF(AT29=2,"sesamo (tracce)","")),IF(AU29=1,"sedano",IF(AU29=2,"sedano (tracce)","")),IF(AV29=1,"senape",IF(AV29=2,"senape (tracce)","")),IF(AW29=1,"solfiti",IF(AW29=2,"solfiti (tracce)","")),IF(AX29=1,"lupini",IF(AX29=2,"lupini (tracce)","")),IF(AY29=1,"nichel",IF(AY29=2,"nichel (tracce)","")),IF(AZ29=1,"FODMAP",IF(AZ29=2,"FODMAP (tracce)","")))</f>
        <v/>
      </c>
      <c r="BB29" s="12" t="n">
        <f aca="false">ROUND(4*C29+4*D29+9*E29+2*N(F29),0)</f>
        <v>138</v>
      </c>
      <c r="BC29" s="12" t="s">
        <v>70</v>
      </c>
      <c r="BD29" s="12"/>
    </row>
    <row r="30" customFormat="false" ht="15" hidden="false" customHeight="false" outlineLevel="0" collapsed="false">
      <c r="A30" s="8" t="s">
        <v>136</v>
      </c>
      <c r="B30" s="9" t="n">
        <v>120</v>
      </c>
      <c r="C30" s="10" t="n">
        <v>0</v>
      </c>
      <c r="D30" s="10" t="n">
        <v>21</v>
      </c>
      <c r="E30" s="10" t="n">
        <v>3.4</v>
      </c>
      <c r="F30" s="11" t="n">
        <v>0</v>
      </c>
      <c r="G30" s="11" t="n">
        <v>0</v>
      </c>
      <c r="H30" s="11" t="n">
        <v>1.2</v>
      </c>
      <c r="I30" s="11" t="n">
        <v>1.4</v>
      </c>
      <c r="J30" s="11" t="n">
        <v>0.4</v>
      </c>
      <c r="K30" s="11" t="n">
        <v>65</v>
      </c>
      <c r="L30" s="11" t="n">
        <v>53</v>
      </c>
      <c r="M30" s="11" t="n">
        <v>400</v>
      </c>
      <c r="N30" s="11" t="n">
        <v>5</v>
      </c>
      <c r="O30" s="11" t="n">
        <v>240</v>
      </c>
      <c r="P30" s="11" t="n">
        <v>27</v>
      </c>
      <c r="Q30" s="11" t="n">
        <v>1</v>
      </c>
      <c r="R30" s="11" t="n">
        <v>1.9</v>
      </c>
      <c r="S30" s="11" t="n">
        <v>0</v>
      </c>
      <c r="T30" s="11" t="n">
        <v>0</v>
      </c>
      <c r="U30" s="11" t="n">
        <v>0.5</v>
      </c>
      <c r="V30" s="11" t="n">
        <v>0.2</v>
      </c>
      <c r="W30" s="11" t="n">
        <v>0.98</v>
      </c>
      <c r="X30" s="11" t="n">
        <v>0.34</v>
      </c>
      <c r="Y30" s="11" t="n">
        <v>6.7</v>
      </c>
      <c r="Z30" s="11" t="n">
        <v>0.78</v>
      </c>
      <c r="AA30" s="11" t="n">
        <v>0</v>
      </c>
      <c r="AB30" s="11" t="n">
        <v>0.5</v>
      </c>
      <c r="AC30" s="12" t="s">
        <v>122</v>
      </c>
      <c r="AD30" s="12" t="s">
        <v>137</v>
      </c>
      <c r="AE30" s="12" t="s">
        <v>66</v>
      </c>
      <c r="AF30" s="12" t="s">
        <v>69</v>
      </c>
      <c r="AG30" s="12"/>
      <c r="AH30" s="12"/>
      <c r="AI30" s="12"/>
      <c r="AJ30" s="13" t="n">
        <v>0</v>
      </c>
      <c r="AK30" s="13" t="n">
        <v>0</v>
      </c>
      <c r="AL30" s="13" t="n">
        <v>0</v>
      </c>
      <c r="AM30" s="13" t="n">
        <v>0</v>
      </c>
      <c r="AN30" s="13" t="n">
        <v>0</v>
      </c>
      <c r="AO30" s="13" t="n">
        <v>0</v>
      </c>
      <c r="AP30" s="13" t="n">
        <v>0</v>
      </c>
      <c r="AQ30" s="13" t="n">
        <v>0</v>
      </c>
      <c r="AR30" s="13" t="n">
        <v>0</v>
      </c>
      <c r="AS30" s="13" t="n">
        <v>0</v>
      </c>
      <c r="AT30" s="13" t="n">
        <v>0</v>
      </c>
      <c r="AU30" s="13" t="n">
        <v>0</v>
      </c>
      <c r="AV30" s="13" t="n">
        <v>0</v>
      </c>
      <c r="AW30" s="13" t="n">
        <v>0</v>
      </c>
      <c r="AX30" s="13" t="n">
        <v>0</v>
      </c>
      <c r="AY30" s="13" t="n">
        <v>0</v>
      </c>
      <c r="AZ30" s="13" t="n">
        <v>0</v>
      </c>
      <c r="BA30" s="12" t="str">
        <f aca="false">_xlfn.TEXTJOIN(", ",TRUE(),IF(AJ30=1,"glutine",IF(AJ30=2,"glutine (tracce)","")),IF(AK30=1,"latte",IF(AK30=2,"latte (tracce)","")),IF(AL30=1,"lattosio",IF(AL30=2,"lattosio (tracce)","")),IF(AM30=1,"uova",IF(AM30=2,"uova (tracce)","")),IF(AN30=1,"pesce",IF(AN30=2,"pesce (tracce)","")),IF(AO30=1,"crostacei",IF(AO30=2,"crostacei (tracce)","")),IF(AP30=1,"molluschi",IF(AP30=2,"molluschi (tracce)","")),IF(AQ30=1,"frutta a guscio",IF(AQ30=2,"frutta a guscio (tracce)","")),IF(AR30=1,"arachidi",IF(AR30=2,"arachidi (tracce)","")),IF(AS30=1,"soia",IF(AS30=2,"soia (tracce)","")),IF(AT30=1,"sesamo",IF(AT30=2,"sesamo (tracce)","")),IF(AU30=1,"sedano",IF(AU30=2,"sedano (tracce)","")),IF(AV30=1,"senape",IF(AV30=2,"senape (tracce)","")),IF(AW30=1,"solfiti",IF(AW30=2,"solfiti (tracce)","")),IF(AX30=1,"lupini",IF(AX30=2,"lupini (tracce)","")),IF(AY30=1,"nichel",IF(AY30=2,"nichel (tracce)","")),IF(AZ30=1,"FODMAP",IF(AZ30=2,"FODMAP (tracce)","")))</f>
        <v/>
      </c>
      <c r="BB30" s="12" t="n">
        <f aca="false">ROUND(4*C30+4*D30+9*E30+2*N(F30),0)</f>
        <v>115</v>
      </c>
      <c r="BC30" s="12" t="s">
        <v>70</v>
      </c>
      <c r="BD30" s="12"/>
    </row>
    <row r="31" customFormat="false" ht="15" hidden="false" customHeight="false" outlineLevel="0" collapsed="false">
      <c r="A31" s="8" t="s">
        <v>138</v>
      </c>
      <c r="B31" s="9" t="n">
        <v>136</v>
      </c>
      <c r="C31" s="10" t="n">
        <v>0</v>
      </c>
      <c r="D31" s="10" t="n">
        <v>20.1</v>
      </c>
      <c r="E31" s="10" t="n">
        <v>5.6</v>
      </c>
      <c r="F31" s="11" t="n">
        <v>0</v>
      </c>
      <c r="G31" s="11" t="n">
        <v>0</v>
      </c>
      <c r="H31" s="11" t="n">
        <v>1.7</v>
      </c>
      <c r="I31" s="11" t="n">
        <v>1.5</v>
      </c>
      <c r="J31" s="11" t="n">
        <v>1.1</v>
      </c>
      <c r="K31" s="11" t="n">
        <v>57</v>
      </c>
      <c r="L31" s="11" t="n">
        <v>41</v>
      </c>
      <c r="M31" s="11" t="n">
        <v>330</v>
      </c>
      <c r="N31" s="11" t="n">
        <v>13</v>
      </c>
      <c r="O31" s="11" t="n">
        <v>213</v>
      </c>
      <c r="P31" s="11" t="n">
        <v>19</v>
      </c>
      <c r="Q31" s="11" t="n">
        <v>1.57</v>
      </c>
      <c r="R31" s="11" t="n">
        <v>1.57</v>
      </c>
      <c r="S31" s="11" t="n">
        <v>0</v>
      </c>
      <c r="T31" s="11" t="n">
        <v>0</v>
      </c>
      <c r="U31" s="11" t="n">
        <v>0</v>
      </c>
      <c r="V31" s="11" t="n">
        <v>0.1</v>
      </c>
      <c r="W31" s="11" t="n">
        <v>0.1</v>
      </c>
      <c r="X31" s="11" t="n">
        <v>0.15</v>
      </c>
      <c r="Y31" s="11" t="n">
        <v>7.8</v>
      </c>
      <c r="Z31" s="11" t="n">
        <v>0.47</v>
      </c>
      <c r="AA31" s="11" t="n">
        <v>8</v>
      </c>
      <c r="AB31" s="11" t="n">
        <v>7.2</v>
      </c>
      <c r="AC31" s="12" t="s">
        <v>122</v>
      </c>
      <c r="AD31" s="12" t="s">
        <v>139</v>
      </c>
      <c r="AE31" s="12" t="s">
        <v>66</v>
      </c>
      <c r="AF31" s="12" t="s">
        <v>69</v>
      </c>
      <c r="AG31" s="12"/>
      <c r="AH31" s="12"/>
      <c r="AI31" s="12"/>
      <c r="AJ31" s="13" t="n">
        <v>0</v>
      </c>
      <c r="AK31" s="13" t="n">
        <v>0</v>
      </c>
      <c r="AL31" s="13" t="n">
        <v>0</v>
      </c>
      <c r="AM31" s="13" t="n">
        <v>0</v>
      </c>
      <c r="AN31" s="13" t="n">
        <v>0</v>
      </c>
      <c r="AO31" s="13" t="n">
        <v>0</v>
      </c>
      <c r="AP31" s="13" t="n">
        <v>0</v>
      </c>
      <c r="AQ31" s="13" t="n">
        <v>0</v>
      </c>
      <c r="AR31" s="13" t="n">
        <v>0</v>
      </c>
      <c r="AS31" s="13" t="n">
        <v>0</v>
      </c>
      <c r="AT31" s="13" t="n">
        <v>0</v>
      </c>
      <c r="AU31" s="13" t="n">
        <v>0</v>
      </c>
      <c r="AV31" s="13" t="n">
        <v>0</v>
      </c>
      <c r="AW31" s="13" t="n">
        <v>0</v>
      </c>
      <c r="AX31" s="13" t="n">
        <v>0</v>
      </c>
      <c r="AY31" s="13" t="n">
        <v>0</v>
      </c>
      <c r="AZ31" s="13" t="n">
        <v>0</v>
      </c>
      <c r="BA31" s="12" t="str">
        <f aca="false">_xlfn.TEXTJOIN(", ",TRUE(),IF(AJ31=1,"glutine",IF(AJ31=2,"glutine (tracce)","")),IF(AK31=1,"latte",IF(AK31=2,"latte (tracce)","")),IF(AL31=1,"lattosio",IF(AL31=2,"lattosio (tracce)","")),IF(AM31=1,"uova",IF(AM31=2,"uova (tracce)","")),IF(AN31=1,"pesce",IF(AN31=2,"pesce (tracce)","")),IF(AO31=1,"crostacei",IF(AO31=2,"crostacei (tracce)","")),IF(AP31=1,"molluschi",IF(AP31=2,"molluschi (tracce)","")),IF(AQ31=1,"frutta a guscio",IF(AQ31=2,"frutta a guscio (tracce)","")),IF(AR31=1,"arachidi",IF(AR31=2,"arachidi (tracce)","")),IF(AS31=1,"soia",IF(AS31=2,"soia (tracce)","")),IF(AT31=1,"sesamo",IF(AT31=2,"sesamo (tracce)","")),IF(AU31=1,"sedano",IF(AU31=2,"sedano (tracce)","")),IF(AV31=1,"senape",IF(AV31=2,"senape (tracce)","")),IF(AW31=1,"solfiti",IF(AW31=2,"solfiti (tracce)","")),IF(AX31=1,"lupini",IF(AX31=2,"lupini (tracce)","")),IF(AY31=1,"nichel",IF(AY31=2,"nichel (tracce)","")),IF(AZ31=1,"FODMAP",IF(AZ31=2,"FODMAP (tracce)","")))</f>
        <v/>
      </c>
      <c r="BB31" s="12" t="n">
        <f aca="false">ROUND(4*C31+4*D31+9*E31+2*N(F31),0)</f>
        <v>131</v>
      </c>
      <c r="BC31" s="12" t="s">
        <v>70</v>
      </c>
      <c r="BD31" s="12"/>
    </row>
    <row r="32" customFormat="false" ht="15" hidden="false" customHeight="false" outlineLevel="0" collapsed="false">
      <c r="A32" s="8" t="s">
        <v>140</v>
      </c>
      <c r="B32" s="9" t="n">
        <v>133</v>
      </c>
      <c r="C32" s="10" t="n">
        <v>0.5</v>
      </c>
      <c r="D32" s="10" t="n">
        <v>21.4</v>
      </c>
      <c r="E32" s="10" t="n">
        <v>4.6</v>
      </c>
      <c r="F32" s="11" t="n">
        <v>0</v>
      </c>
      <c r="G32" s="11" t="n">
        <v>0</v>
      </c>
      <c r="H32" s="11" t="n">
        <v>1.4</v>
      </c>
      <c r="I32" s="11" t="n">
        <v>1.6</v>
      </c>
      <c r="J32" s="11" t="n">
        <v>1</v>
      </c>
      <c r="K32" s="11" t="n">
        <v>52</v>
      </c>
      <c r="L32" s="11" t="n">
        <v>53</v>
      </c>
      <c r="M32" s="11" t="n">
        <v>360</v>
      </c>
      <c r="N32" s="11" t="n">
        <v>6</v>
      </c>
      <c r="O32" s="11" t="n">
        <v>221</v>
      </c>
      <c r="P32" s="11" t="n">
        <v>24</v>
      </c>
      <c r="Q32" s="11" t="n">
        <v>3.8</v>
      </c>
      <c r="R32" s="11" t="n">
        <v>2.9</v>
      </c>
      <c r="S32" s="11" t="n">
        <v>0</v>
      </c>
      <c r="T32" s="11" t="n">
        <v>1</v>
      </c>
      <c r="U32" s="11"/>
      <c r="V32" s="11"/>
      <c r="W32" s="11" t="n">
        <v>0.13</v>
      </c>
      <c r="X32" s="11" t="n">
        <v>0.1</v>
      </c>
      <c r="Y32" s="11" t="n">
        <v>4.6</v>
      </c>
      <c r="Z32" s="11" t="n">
        <v>0.38</v>
      </c>
      <c r="AA32" s="11" t="n">
        <v>5</v>
      </c>
      <c r="AB32" s="11" t="n">
        <v>3</v>
      </c>
      <c r="AC32" s="12" t="s">
        <v>122</v>
      </c>
      <c r="AD32" s="12" t="s">
        <v>141</v>
      </c>
      <c r="AE32" s="12" t="s">
        <v>66</v>
      </c>
      <c r="AF32" s="12" t="s">
        <v>69</v>
      </c>
      <c r="AG32" s="12"/>
      <c r="AH32" s="12"/>
      <c r="AI32" s="12"/>
      <c r="AJ32" s="13" t="n">
        <v>0</v>
      </c>
      <c r="AK32" s="13" t="n">
        <v>0</v>
      </c>
      <c r="AL32" s="13" t="n">
        <v>0</v>
      </c>
      <c r="AM32" s="13" t="n">
        <v>0</v>
      </c>
      <c r="AN32" s="13" t="n">
        <v>0</v>
      </c>
      <c r="AO32" s="13" t="n">
        <v>0</v>
      </c>
      <c r="AP32" s="13" t="n">
        <v>0</v>
      </c>
      <c r="AQ32" s="13" t="n">
        <v>0</v>
      </c>
      <c r="AR32" s="13" t="n">
        <v>0</v>
      </c>
      <c r="AS32" s="13" t="n">
        <v>0</v>
      </c>
      <c r="AT32" s="13" t="n">
        <v>0</v>
      </c>
      <c r="AU32" s="13" t="n">
        <v>0</v>
      </c>
      <c r="AV32" s="13" t="n">
        <v>0</v>
      </c>
      <c r="AW32" s="13" t="n">
        <v>0</v>
      </c>
      <c r="AX32" s="13" t="n">
        <v>0</v>
      </c>
      <c r="AY32" s="13" t="n">
        <v>0</v>
      </c>
      <c r="AZ32" s="13" t="n">
        <v>0</v>
      </c>
      <c r="BA32" s="12" t="str">
        <f aca="false">_xlfn.TEXTJOIN(", ",TRUE(),IF(AJ32=1,"glutine",IF(AJ32=2,"glutine (tracce)","")),IF(AK32=1,"latte",IF(AK32=2,"latte (tracce)","")),IF(AL32=1,"lattosio",IF(AL32=2,"lattosio (tracce)","")),IF(AM32=1,"uova",IF(AM32=2,"uova (tracce)","")),IF(AN32=1,"pesce",IF(AN32=2,"pesce (tracce)","")),IF(AO32=1,"crostacei",IF(AO32=2,"crostacei (tracce)","")),IF(AP32=1,"molluschi",IF(AP32=2,"molluschi (tracce)","")),IF(AQ32=1,"frutta a guscio",IF(AQ32=2,"frutta a guscio (tracce)","")),IF(AR32=1,"arachidi",IF(AR32=2,"arachidi (tracce)","")),IF(AS32=1,"soia",IF(AS32=2,"soia (tracce)","")),IF(AT32=1,"sesamo",IF(AT32=2,"sesamo (tracce)","")),IF(AU32=1,"sedano",IF(AU32=2,"sedano (tracce)","")),IF(AV32=1,"senape",IF(AV32=2,"senape (tracce)","")),IF(AW32=1,"solfiti",IF(AW32=2,"solfiti (tracce)","")),IF(AX32=1,"lupini",IF(AX32=2,"lupini (tracce)","")),IF(AY32=1,"nichel",IF(AY32=2,"nichel (tracce)","")),IF(AZ32=1,"FODMAP",IF(AZ32=2,"FODMAP (tracce)","")))</f>
        <v/>
      </c>
      <c r="BB32" s="12" t="n">
        <f aca="false">ROUND(4*C32+4*D32+9*E32+2*N(F32),0)</f>
        <v>129</v>
      </c>
      <c r="BC32" s="12" t="s">
        <v>70</v>
      </c>
      <c r="BD32" s="12"/>
    </row>
    <row r="33" customFormat="false" ht="15" hidden="false" customHeight="false" outlineLevel="0" collapsed="false">
      <c r="A33" s="14" t="s">
        <v>142</v>
      </c>
      <c r="B33" s="15" t="n">
        <v>151</v>
      </c>
      <c r="C33" s="16" t="n">
        <v>0.4</v>
      </c>
      <c r="D33" s="16" t="n">
        <v>32</v>
      </c>
      <c r="E33" s="16" t="n">
        <v>2.6</v>
      </c>
      <c r="F33" s="17" t="n">
        <v>0</v>
      </c>
      <c r="G33" s="17" t="n">
        <v>0.4</v>
      </c>
      <c r="H33" s="17" t="n">
        <v>0.9</v>
      </c>
      <c r="I33" s="17" t="n">
        <v>1</v>
      </c>
      <c r="J33" s="17" t="n">
        <v>0.3</v>
      </c>
      <c r="K33" s="17" t="n">
        <v>67</v>
      </c>
      <c r="L33" s="17" t="n">
        <v>1597</v>
      </c>
      <c r="M33" s="17" t="n">
        <v>505</v>
      </c>
      <c r="N33" s="17" t="n">
        <v>16</v>
      </c>
      <c r="O33" s="17" t="n">
        <v>263</v>
      </c>
      <c r="P33" s="17" t="n">
        <v>35</v>
      </c>
      <c r="Q33" s="17" t="n">
        <v>2.8</v>
      </c>
      <c r="R33" s="17" t="n">
        <v>7.4</v>
      </c>
      <c r="S33" s="17" t="n">
        <v>0</v>
      </c>
      <c r="T33" s="17" t="n">
        <v>0</v>
      </c>
      <c r="U33" s="17"/>
      <c r="V33" s="17"/>
      <c r="W33" s="17" t="n">
        <v>0.05</v>
      </c>
      <c r="X33" s="17" t="n">
        <v>0.2</v>
      </c>
      <c r="Y33" s="17" t="n">
        <v>9</v>
      </c>
      <c r="Z33" s="17" t="n">
        <v>0.4</v>
      </c>
      <c r="AA33" s="17"/>
      <c r="AB33" s="17" t="n">
        <v>1.5</v>
      </c>
      <c r="AC33" s="18" t="s">
        <v>143</v>
      </c>
      <c r="AD33" s="18" t="s">
        <v>144</v>
      </c>
      <c r="AE33" s="18" t="s">
        <v>66</v>
      </c>
      <c r="AF33" s="18" t="s">
        <v>101</v>
      </c>
      <c r="AG33" s="18"/>
      <c r="AH33" s="18"/>
      <c r="AI33" s="18"/>
      <c r="AJ33" s="7" t="n">
        <v>0</v>
      </c>
      <c r="AK33" s="7" t="n">
        <v>0</v>
      </c>
      <c r="AL33" s="7" t="n">
        <v>0</v>
      </c>
      <c r="AM33" s="7" t="n">
        <v>0</v>
      </c>
      <c r="AN33" s="7" t="n">
        <v>0</v>
      </c>
      <c r="AO33" s="7" t="n">
        <v>0</v>
      </c>
      <c r="AP33" s="7" t="n">
        <v>0</v>
      </c>
      <c r="AQ33" s="7" t="n">
        <v>0</v>
      </c>
      <c r="AR33" s="7" t="n">
        <v>0</v>
      </c>
      <c r="AS33" s="7" t="n">
        <v>0</v>
      </c>
      <c r="AT33" s="7" t="n">
        <v>0</v>
      </c>
      <c r="AU33" s="7" t="n">
        <v>0</v>
      </c>
      <c r="AV33" s="7" t="n">
        <v>0</v>
      </c>
      <c r="AW33" s="7" t="n">
        <v>0</v>
      </c>
      <c r="AX33" s="7" t="n">
        <v>0</v>
      </c>
      <c r="AY33" s="7" t="n">
        <v>0</v>
      </c>
      <c r="AZ33" s="7" t="n">
        <v>0</v>
      </c>
      <c r="BA33" s="18" t="str">
        <f aca="false">_xlfn.TEXTJOIN(", ",TRUE(),IF(AJ33=1,"glutine",IF(AJ33=2,"glutine (tracce)","")),IF(AK33=1,"latte",IF(AK33=2,"latte (tracce)","")),IF(AL33=1,"lattosio",IF(AL33=2,"lattosio (tracce)","")),IF(AM33=1,"uova",IF(AM33=2,"uova (tracce)","")),IF(AN33=1,"pesce",IF(AN33=2,"pesce (tracce)","")),IF(AO33=1,"crostacei",IF(AO33=2,"crostacei (tracce)","")),IF(AP33=1,"molluschi",IF(AP33=2,"molluschi (tracce)","")),IF(AQ33=1,"frutta a guscio",IF(AQ33=2,"frutta a guscio (tracce)","")),IF(AR33=1,"arachidi",IF(AR33=2,"arachidi (tracce)","")),IF(AS33=1,"soia",IF(AS33=2,"soia (tracce)","")),IF(AT33=1,"sesamo",IF(AT33=2,"sesamo (tracce)","")),IF(AU33=1,"sedano",IF(AU33=2,"sedano (tracce)","")),IF(AV33=1,"senape",IF(AV33=2,"senape (tracce)","")),IF(AW33=1,"solfiti",IF(AW33=2,"solfiti (tracce)","")),IF(AX33=1,"lupini",IF(AX33=2,"lupini (tracce)","")),IF(AY33=1,"nichel",IF(AY33=2,"nichel (tracce)","")),IF(AZ33=1,"FODMAP",IF(AZ33=2,"FODMAP (tracce)","")))</f>
        <v/>
      </c>
      <c r="BB33" s="18" t="n">
        <f aca="false">ROUND(4*C33+4*D33+9*E33+2*N(F33),0)</f>
        <v>153</v>
      </c>
      <c r="BC33" s="18" t="s">
        <v>61</v>
      </c>
      <c r="BD33" s="18"/>
    </row>
    <row r="34" customFormat="false" ht="15" hidden="false" customHeight="false" outlineLevel="0" collapsed="false">
      <c r="A34" s="19" t="s">
        <v>145</v>
      </c>
      <c r="B34" s="20" t="n">
        <v>100</v>
      </c>
      <c r="C34" s="21" t="n">
        <v>1</v>
      </c>
      <c r="D34" s="21" t="n">
        <v>21.5</v>
      </c>
      <c r="E34" s="21" t="n">
        <v>1.4</v>
      </c>
      <c r="F34" s="22" t="n">
        <v>0</v>
      </c>
      <c r="G34" s="22" t="n">
        <v>0.5</v>
      </c>
      <c r="H34" s="22" t="n">
        <v>0.5</v>
      </c>
      <c r="I34" s="22"/>
      <c r="J34" s="22"/>
      <c r="K34" s="22" t="n">
        <v>45</v>
      </c>
      <c r="L34" s="22" t="n">
        <v>800</v>
      </c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3" t="s">
        <v>143</v>
      </c>
      <c r="AD34" s="23" t="s">
        <v>146</v>
      </c>
      <c r="AE34" s="23" t="s">
        <v>66</v>
      </c>
      <c r="AF34" s="23" t="s">
        <v>147</v>
      </c>
      <c r="AG34" s="23"/>
      <c r="AH34" s="23"/>
      <c r="AI34" s="23"/>
      <c r="AJ34" s="13" t="n">
        <v>0</v>
      </c>
      <c r="AK34" s="13" t="n">
        <v>0</v>
      </c>
      <c r="AL34" s="13" t="n">
        <v>0</v>
      </c>
      <c r="AM34" s="13" t="n">
        <v>0</v>
      </c>
      <c r="AN34" s="13" t="n">
        <v>0</v>
      </c>
      <c r="AO34" s="13" t="n">
        <v>0</v>
      </c>
      <c r="AP34" s="13" t="n">
        <v>0</v>
      </c>
      <c r="AQ34" s="13" t="n">
        <v>0</v>
      </c>
      <c r="AR34" s="13" t="n">
        <v>0</v>
      </c>
      <c r="AS34" s="13" t="n">
        <v>0</v>
      </c>
      <c r="AT34" s="13" t="n">
        <v>0</v>
      </c>
      <c r="AU34" s="13" t="n">
        <v>0</v>
      </c>
      <c r="AV34" s="13" t="n">
        <v>0</v>
      </c>
      <c r="AW34" s="13" t="n">
        <v>0</v>
      </c>
      <c r="AX34" s="13" t="n">
        <v>0</v>
      </c>
      <c r="AY34" s="13" t="n">
        <v>0</v>
      </c>
      <c r="AZ34" s="13" t="n">
        <v>0</v>
      </c>
      <c r="BA34" s="23" t="str">
        <f aca="false">_xlfn.TEXTJOIN(", ",TRUE(),IF(AJ34=1,"glutine",IF(AJ34=2,"glutine (tracce)","")),IF(AK34=1,"latte",IF(AK34=2,"latte (tracce)","")),IF(AL34=1,"lattosio",IF(AL34=2,"lattosio (tracce)","")),IF(AM34=1,"uova",IF(AM34=2,"uova (tracce)","")),IF(AN34=1,"pesce",IF(AN34=2,"pesce (tracce)","")),IF(AO34=1,"crostacei",IF(AO34=2,"crostacei (tracce)","")),IF(AP34=1,"molluschi",IF(AP34=2,"molluschi (tracce)","")),IF(AQ34=1,"frutta a guscio",IF(AQ34=2,"frutta a guscio (tracce)","")),IF(AR34=1,"arachidi",IF(AR34=2,"arachidi (tracce)","")),IF(AS34=1,"soia",IF(AS34=2,"soia (tracce)","")),IF(AT34=1,"sesamo",IF(AT34=2,"sesamo (tracce)","")),IF(AU34=1,"sedano",IF(AU34=2,"sedano (tracce)","")),IF(AV34=1,"senape",IF(AV34=2,"senape (tracce)","")),IF(AW34=1,"solfiti",IF(AW34=2,"solfiti (tracce)","")),IF(AX34=1,"lupini",IF(AX34=2,"lupini (tracce)","")),IF(AY34=1,"nichel",IF(AY34=2,"nichel (tracce)","")),IF(AZ34=1,"FODMAP",IF(AZ34=2,"FODMAP (tracce)","")))</f>
        <v/>
      </c>
      <c r="BB34" s="23" t="n">
        <f aca="false">ROUND(4*C34+4*D34+9*E34+2*N(F34),0)</f>
        <v>103</v>
      </c>
      <c r="BC34" s="23" t="s">
        <v>78</v>
      </c>
      <c r="BD34" s="23"/>
    </row>
    <row r="35" customFormat="false" ht="15" hidden="false" customHeight="false" outlineLevel="0" collapsed="false">
      <c r="A35" s="19" t="s">
        <v>148</v>
      </c>
      <c r="B35" s="20" t="n">
        <v>177</v>
      </c>
      <c r="C35" s="21" t="n">
        <v>0</v>
      </c>
      <c r="D35" s="21" t="n">
        <v>27.8</v>
      </c>
      <c r="E35" s="21" t="n">
        <v>7.3</v>
      </c>
      <c r="F35" s="22" t="n">
        <v>0</v>
      </c>
      <c r="G35" s="22" t="n">
        <v>0</v>
      </c>
      <c r="H35" s="22" t="n">
        <v>2.5</v>
      </c>
      <c r="I35" s="22" t="n">
        <v>3.3</v>
      </c>
      <c r="J35" s="22" t="n">
        <v>1</v>
      </c>
      <c r="K35" s="22" t="n">
        <v>70</v>
      </c>
      <c r="L35" s="22" t="n">
        <v>2000</v>
      </c>
      <c r="M35" s="22" t="n">
        <v>450</v>
      </c>
      <c r="N35" s="22" t="n">
        <v>10</v>
      </c>
      <c r="O35" s="22" t="n">
        <v>250</v>
      </c>
      <c r="P35" s="22" t="n">
        <v>25</v>
      </c>
      <c r="Q35" s="22" t="n">
        <v>1.2</v>
      </c>
      <c r="R35" s="22" t="n">
        <v>2.8</v>
      </c>
      <c r="S35" s="22" t="n">
        <v>0</v>
      </c>
      <c r="T35" s="22" t="n">
        <v>0</v>
      </c>
      <c r="U35" s="22" t="n">
        <v>0.5</v>
      </c>
      <c r="V35" s="22" t="n">
        <v>0.1</v>
      </c>
      <c r="W35" s="22" t="n">
        <v>0.8</v>
      </c>
      <c r="X35" s="22" t="n">
        <v>0.2</v>
      </c>
      <c r="Y35" s="22" t="n">
        <v>6</v>
      </c>
      <c r="Z35" s="22" t="n">
        <v>0.4</v>
      </c>
      <c r="AA35" s="22" t="n">
        <v>3</v>
      </c>
      <c r="AB35" s="22" t="n">
        <v>1</v>
      </c>
      <c r="AC35" s="23" t="s">
        <v>143</v>
      </c>
      <c r="AD35" s="23" t="s">
        <v>149</v>
      </c>
      <c r="AE35" s="23" t="s">
        <v>66</v>
      </c>
      <c r="AF35" s="23" t="s">
        <v>101</v>
      </c>
      <c r="AG35" s="23"/>
      <c r="AH35" s="23"/>
      <c r="AI35" s="23"/>
      <c r="AJ35" s="13" t="n">
        <v>0</v>
      </c>
      <c r="AK35" s="13" t="n">
        <v>0</v>
      </c>
      <c r="AL35" s="13" t="n">
        <v>0</v>
      </c>
      <c r="AM35" s="13" t="n">
        <v>0</v>
      </c>
      <c r="AN35" s="13" t="n">
        <v>0</v>
      </c>
      <c r="AO35" s="13" t="n">
        <v>0</v>
      </c>
      <c r="AP35" s="13" t="n">
        <v>0</v>
      </c>
      <c r="AQ35" s="13" t="n">
        <v>0</v>
      </c>
      <c r="AR35" s="13" t="n">
        <v>0</v>
      </c>
      <c r="AS35" s="13" t="n">
        <v>0</v>
      </c>
      <c r="AT35" s="13" t="n">
        <v>0</v>
      </c>
      <c r="AU35" s="13" t="n">
        <v>0</v>
      </c>
      <c r="AV35" s="13" t="n">
        <v>0</v>
      </c>
      <c r="AW35" s="13" t="n">
        <v>0</v>
      </c>
      <c r="AX35" s="13" t="n">
        <v>0</v>
      </c>
      <c r="AY35" s="13" t="n">
        <v>0</v>
      </c>
      <c r="AZ35" s="13" t="n">
        <v>0</v>
      </c>
      <c r="BA35" s="23" t="str">
        <f aca="false">_xlfn.TEXTJOIN(", ",TRUE(),IF(AJ35=1,"glutine",IF(AJ35=2,"glutine (tracce)","")),IF(AK35=1,"latte",IF(AK35=2,"latte (tracce)","")),IF(AL35=1,"lattosio",IF(AL35=2,"lattosio (tracce)","")),IF(AM35=1,"uova",IF(AM35=2,"uova (tracce)","")),IF(AN35=1,"pesce",IF(AN35=2,"pesce (tracce)","")),IF(AO35=1,"crostacei",IF(AO35=2,"crostacei (tracce)","")),IF(AP35=1,"molluschi",IF(AP35=2,"molluschi (tracce)","")),IF(AQ35=1,"frutta a guscio",IF(AQ35=2,"frutta a guscio (tracce)","")),IF(AR35=1,"arachidi",IF(AR35=2,"arachidi (tracce)","")),IF(AS35=1,"soia",IF(AS35=2,"soia (tracce)","")),IF(AT35=1,"sesamo",IF(AT35=2,"sesamo (tracce)","")),IF(AU35=1,"sedano",IF(AU35=2,"sedano (tracce)","")),IF(AV35=1,"senape",IF(AV35=2,"senape (tracce)","")),IF(AW35=1,"solfiti",IF(AW35=2,"solfiti (tracce)","")),IF(AX35=1,"lupini",IF(AX35=2,"lupini (tracce)","")),IF(AY35=1,"nichel",IF(AY35=2,"nichel (tracce)","")),IF(AZ35=1,"FODMAP",IF(AZ35=2,"FODMAP (tracce)","")))</f>
        <v/>
      </c>
      <c r="BB35" s="23" t="n">
        <f aca="false">ROUND(4*C35+4*D35+9*E35+2*N(F35),0)</f>
        <v>177</v>
      </c>
      <c r="BC35" s="23" t="s">
        <v>61</v>
      </c>
      <c r="BD35" s="23"/>
    </row>
    <row r="36" customFormat="false" ht="15" hidden="false" customHeight="false" outlineLevel="0" collapsed="false">
      <c r="A36" s="19" t="s">
        <v>150</v>
      </c>
      <c r="B36" s="20" t="n">
        <v>143</v>
      </c>
      <c r="C36" s="21" t="n">
        <v>1</v>
      </c>
      <c r="D36" s="21" t="n">
        <v>19</v>
      </c>
      <c r="E36" s="21" t="n">
        <v>7</v>
      </c>
      <c r="F36" s="22" t="n">
        <v>0</v>
      </c>
      <c r="G36" s="22" t="n">
        <v>1</v>
      </c>
      <c r="H36" s="22" t="n">
        <v>2.5</v>
      </c>
      <c r="I36" s="22"/>
      <c r="J36" s="22"/>
      <c r="K36" s="22" t="n">
        <v>60</v>
      </c>
      <c r="L36" s="22" t="n">
        <v>800</v>
      </c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3" t="s">
        <v>143</v>
      </c>
      <c r="AD36" s="23" t="s">
        <v>151</v>
      </c>
      <c r="AE36" s="23" t="s">
        <v>66</v>
      </c>
      <c r="AF36" s="23" t="s">
        <v>147</v>
      </c>
      <c r="AG36" s="23"/>
      <c r="AH36" s="23"/>
      <c r="AI36" s="23"/>
      <c r="AJ36" s="13" t="n">
        <v>0</v>
      </c>
      <c r="AK36" s="13" t="n">
        <v>0</v>
      </c>
      <c r="AL36" s="13" t="n">
        <v>0</v>
      </c>
      <c r="AM36" s="13" t="n">
        <v>0</v>
      </c>
      <c r="AN36" s="13" t="n">
        <v>0</v>
      </c>
      <c r="AO36" s="13" t="n">
        <v>0</v>
      </c>
      <c r="AP36" s="13" t="n">
        <v>0</v>
      </c>
      <c r="AQ36" s="13" t="n">
        <v>0</v>
      </c>
      <c r="AR36" s="13" t="n">
        <v>0</v>
      </c>
      <c r="AS36" s="13" t="n">
        <v>0</v>
      </c>
      <c r="AT36" s="13" t="n">
        <v>0</v>
      </c>
      <c r="AU36" s="13" t="n">
        <v>0</v>
      </c>
      <c r="AV36" s="13" t="n">
        <v>0</v>
      </c>
      <c r="AW36" s="13" t="n">
        <v>0</v>
      </c>
      <c r="AX36" s="13" t="n">
        <v>0</v>
      </c>
      <c r="AY36" s="13" t="n">
        <v>0</v>
      </c>
      <c r="AZ36" s="13" t="n">
        <v>0</v>
      </c>
      <c r="BA36" s="23" t="str">
        <f aca="false">_xlfn.TEXTJOIN(", ",TRUE(),IF(AJ36=1,"glutine",IF(AJ36=2,"glutine (tracce)","")),IF(AK36=1,"latte",IF(AK36=2,"latte (tracce)","")),IF(AL36=1,"lattosio",IF(AL36=2,"lattosio (tracce)","")),IF(AM36=1,"uova",IF(AM36=2,"uova (tracce)","")),IF(AN36=1,"pesce",IF(AN36=2,"pesce (tracce)","")),IF(AO36=1,"crostacei",IF(AO36=2,"crostacei (tracce)","")),IF(AP36=1,"molluschi",IF(AP36=2,"molluschi (tracce)","")),IF(AQ36=1,"frutta a guscio",IF(AQ36=2,"frutta a guscio (tracce)","")),IF(AR36=1,"arachidi",IF(AR36=2,"arachidi (tracce)","")),IF(AS36=1,"soia",IF(AS36=2,"soia (tracce)","")),IF(AT36=1,"sesamo",IF(AT36=2,"sesamo (tracce)","")),IF(AU36=1,"sedano",IF(AU36=2,"sedano (tracce)","")),IF(AV36=1,"senape",IF(AV36=2,"senape (tracce)","")),IF(AW36=1,"solfiti",IF(AW36=2,"solfiti (tracce)","")),IF(AX36=1,"lupini",IF(AX36=2,"lupini (tracce)","")),IF(AY36=1,"nichel",IF(AY36=2,"nichel (tracce)","")),IF(AZ36=1,"FODMAP",IF(AZ36=2,"FODMAP (tracce)","")))</f>
        <v/>
      </c>
      <c r="BB36" s="23" t="n">
        <f aca="false">ROUND(4*C36+4*D36+9*E36+2*N(F36),0)</f>
        <v>143</v>
      </c>
      <c r="BC36" s="23" t="s">
        <v>78</v>
      </c>
      <c r="BD36" s="23"/>
    </row>
    <row r="37" customFormat="false" ht="15" hidden="false" customHeight="false" outlineLevel="0" collapsed="false">
      <c r="A37" s="2" t="s">
        <v>152</v>
      </c>
      <c r="B37" s="3" t="n">
        <v>82</v>
      </c>
      <c r="C37" s="4" t="n">
        <v>0</v>
      </c>
      <c r="D37" s="4" t="n">
        <v>17.8</v>
      </c>
      <c r="E37" s="4" t="n">
        <v>0.7</v>
      </c>
      <c r="F37" s="5" t="n">
        <v>0</v>
      </c>
      <c r="G37" s="5" t="n">
        <v>0</v>
      </c>
      <c r="H37" s="5" t="n">
        <v>0.13</v>
      </c>
      <c r="I37" s="5" t="n">
        <v>0.09</v>
      </c>
      <c r="J37" s="5" t="n">
        <v>0.23</v>
      </c>
      <c r="K37" s="5" t="n">
        <v>43</v>
      </c>
      <c r="L37" s="5" t="n">
        <v>54</v>
      </c>
      <c r="M37" s="5" t="n">
        <v>413</v>
      </c>
      <c r="N37" s="5" t="n">
        <v>16</v>
      </c>
      <c r="O37" s="5" t="n">
        <v>203</v>
      </c>
      <c r="P37" s="5" t="n">
        <v>32</v>
      </c>
      <c r="Q37" s="5" t="n">
        <v>0.38</v>
      </c>
      <c r="R37" s="5" t="n">
        <v>0.45</v>
      </c>
      <c r="S37" s="5" t="n">
        <v>12</v>
      </c>
      <c r="T37" s="5" t="n">
        <v>1</v>
      </c>
      <c r="U37" s="5" t="n">
        <v>0.9</v>
      </c>
      <c r="V37" s="5" t="n">
        <v>0.64</v>
      </c>
      <c r="W37" s="5" t="n">
        <v>0.08</v>
      </c>
      <c r="X37" s="5" t="n">
        <v>0.07</v>
      </c>
      <c r="Y37" s="5" t="n">
        <v>2.06</v>
      </c>
      <c r="Z37" s="5" t="n">
        <v>0.25</v>
      </c>
      <c r="AA37" s="5" t="n">
        <v>7</v>
      </c>
      <c r="AB37" s="5" t="n">
        <v>0.91</v>
      </c>
      <c r="AC37" s="6" t="s">
        <v>153</v>
      </c>
      <c r="AD37" s="6" t="s">
        <v>154</v>
      </c>
      <c r="AE37" s="6" t="s">
        <v>66</v>
      </c>
      <c r="AF37" s="6" t="s">
        <v>69</v>
      </c>
      <c r="AG37" s="6"/>
      <c r="AH37" s="6"/>
      <c r="AI37" s="6"/>
      <c r="AJ37" s="7" t="n">
        <v>0</v>
      </c>
      <c r="AK37" s="7" t="n">
        <v>0</v>
      </c>
      <c r="AL37" s="7" t="n">
        <v>0</v>
      </c>
      <c r="AM37" s="7" t="n">
        <v>0</v>
      </c>
      <c r="AN37" s="7" t="n">
        <v>1</v>
      </c>
      <c r="AO37" s="7" t="n">
        <v>0</v>
      </c>
      <c r="AP37" s="7" t="n">
        <v>0</v>
      </c>
      <c r="AQ37" s="7" t="n">
        <v>0</v>
      </c>
      <c r="AR37" s="7" t="n">
        <v>0</v>
      </c>
      <c r="AS37" s="7" t="n">
        <v>0</v>
      </c>
      <c r="AT37" s="7" t="n">
        <v>0</v>
      </c>
      <c r="AU37" s="7" t="n">
        <v>0</v>
      </c>
      <c r="AV37" s="7" t="n">
        <v>0</v>
      </c>
      <c r="AW37" s="7" t="n">
        <v>0</v>
      </c>
      <c r="AX37" s="7" t="n">
        <v>0</v>
      </c>
      <c r="AY37" s="7" t="n">
        <v>0</v>
      </c>
      <c r="AZ37" s="7" t="n">
        <v>0</v>
      </c>
      <c r="BA37" s="6" t="str">
        <f aca="false">_xlfn.TEXTJOIN(", ",TRUE(),IF(AJ37=1,"glutine",IF(AJ37=2,"glutine (tracce)","")),IF(AK37=1,"latte",IF(AK37=2,"latte (tracce)","")),IF(AL37=1,"lattosio",IF(AL37=2,"lattosio (tracce)","")),IF(AM37=1,"uova",IF(AM37=2,"uova (tracce)","")),IF(AN37=1,"pesce",IF(AN37=2,"pesce (tracce)","")),IF(AO37=1,"crostacei",IF(AO37=2,"crostacei (tracce)","")),IF(AP37=1,"molluschi",IF(AP37=2,"molluschi (tracce)","")),IF(AQ37=1,"frutta a guscio",IF(AQ37=2,"frutta a guscio (tracce)","")),IF(AR37=1,"arachidi",IF(AR37=2,"arachidi (tracce)","")),IF(AS37=1,"soia",IF(AS37=2,"soia (tracce)","")),IF(AT37=1,"sesamo",IF(AT37=2,"sesamo (tracce)","")),IF(AU37=1,"sedano",IF(AU37=2,"sedano (tracce)","")),IF(AV37=1,"senape",IF(AV37=2,"senape (tracce)","")),IF(AW37=1,"solfiti",IF(AW37=2,"solfiti (tracce)","")),IF(AX37=1,"lupini",IF(AX37=2,"lupini (tracce)","")),IF(AY37=1,"nichel",IF(AY37=2,"nichel (tracce)","")),IF(AZ37=1,"FODMAP",IF(AZ37=2,"FODMAP (tracce)","")))</f>
        <v>pesce</v>
      </c>
      <c r="BB37" s="6" t="n">
        <f aca="false">ROUND(4*C37+4*D37+9*E37+2*N(F37),0)</f>
        <v>78</v>
      </c>
      <c r="BC37" s="6" t="s">
        <v>70</v>
      </c>
      <c r="BD37" s="6"/>
    </row>
    <row r="38" customFormat="false" ht="15" hidden="false" customHeight="false" outlineLevel="0" collapsed="false">
      <c r="A38" s="8" t="s">
        <v>155</v>
      </c>
      <c r="B38" s="9" t="n">
        <v>71</v>
      </c>
      <c r="C38" s="10" t="n">
        <v>0</v>
      </c>
      <c r="D38" s="10" t="n">
        <v>17</v>
      </c>
      <c r="E38" s="10" t="n">
        <v>0.3</v>
      </c>
      <c r="F38" s="11" t="n">
        <v>0</v>
      </c>
      <c r="G38" s="11" t="n">
        <v>0</v>
      </c>
      <c r="H38" s="11" t="n">
        <v>0.06</v>
      </c>
      <c r="I38" s="11" t="n">
        <v>0.05</v>
      </c>
      <c r="J38" s="11" t="n">
        <v>0.1</v>
      </c>
      <c r="K38" s="11" t="n">
        <v>50</v>
      </c>
      <c r="L38" s="11" t="n">
        <v>100</v>
      </c>
      <c r="M38" s="11" t="n">
        <v>330</v>
      </c>
      <c r="N38" s="11" t="n">
        <v>30</v>
      </c>
      <c r="O38" s="11" t="n">
        <v>200</v>
      </c>
      <c r="P38" s="11" t="n">
        <v>25</v>
      </c>
      <c r="Q38" s="11" t="n">
        <v>0.4</v>
      </c>
      <c r="R38" s="11" t="n">
        <v>0.4</v>
      </c>
      <c r="S38" s="11" t="n">
        <v>10</v>
      </c>
      <c r="T38" s="11" t="n">
        <v>0</v>
      </c>
      <c r="U38" s="11" t="n">
        <v>0.9</v>
      </c>
      <c r="V38" s="11" t="n">
        <v>0.5</v>
      </c>
      <c r="W38" s="11" t="n">
        <v>0.06</v>
      </c>
      <c r="X38" s="11" t="n">
        <v>0.1</v>
      </c>
      <c r="Y38" s="11" t="n">
        <v>2</v>
      </c>
      <c r="Z38" s="11" t="n">
        <v>0.2</v>
      </c>
      <c r="AA38" s="11" t="n">
        <v>7</v>
      </c>
      <c r="AB38" s="11" t="n">
        <v>1</v>
      </c>
      <c r="AC38" s="12" t="s">
        <v>153</v>
      </c>
      <c r="AD38" s="12" t="s">
        <v>156</v>
      </c>
      <c r="AE38" s="12" t="s">
        <v>66</v>
      </c>
      <c r="AF38" s="12" t="s">
        <v>69</v>
      </c>
      <c r="AG38" s="12"/>
      <c r="AH38" s="12"/>
      <c r="AI38" s="12"/>
      <c r="AJ38" s="13" t="n">
        <v>0</v>
      </c>
      <c r="AK38" s="13" t="n">
        <v>0</v>
      </c>
      <c r="AL38" s="13" t="n">
        <v>0</v>
      </c>
      <c r="AM38" s="13" t="n">
        <v>0</v>
      </c>
      <c r="AN38" s="13" t="n">
        <v>1</v>
      </c>
      <c r="AO38" s="13" t="n">
        <v>0</v>
      </c>
      <c r="AP38" s="13" t="n">
        <v>0</v>
      </c>
      <c r="AQ38" s="13" t="n">
        <v>0</v>
      </c>
      <c r="AR38" s="13" t="n">
        <v>0</v>
      </c>
      <c r="AS38" s="13" t="n">
        <v>0</v>
      </c>
      <c r="AT38" s="13" t="n">
        <v>0</v>
      </c>
      <c r="AU38" s="13" t="n">
        <v>0</v>
      </c>
      <c r="AV38" s="13" t="n">
        <v>0</v>
      </c>
      <c r="AW38" s="13" t="n">
        <v>0</v>
      </c>
      <c r="AX38" s="13" t="n">
        <v>0</v>
      </c>
      <c r="AY38" s="13" t="n">
        <v>0</v>
      </c>
      <c r="AZ38" s="13" t="n">
        <v>0</v>
      </c>
      <c r="BA38" s="12" t="str">
        <f aca="false">_xlfn.TEXTJOIN(", ",TRUE(),IF(AJ38=1,"glutine",IF(AJ38=2,"glutine (tracce)","")),IF(AK38=1,"latte",IF(AK38=2,"latte (tracce)","")),IF(AL38=1,"lattosio",IF(AL38=2,"lattosio (tracce)","")),IF(AM38=1,"uova",IF(AM38=2,"uova (tracce)","")),IF(AN38=1,"pesce",IF(AN38=2,"pesce (tracce)","")),IF(AO38=1,"crostacei",IF(AO38=2,"crostacei (tracce)","")),IF(AP38=1,"molluschi",IF(AP38=2,"molluschi (tracce)","")),IF(AQ38=1,"frutta a guscio",IF(AQ38=2,"frutta a guscio (tracce)","")),IF(AR38=1,"arachidi",IF(AR38=2,"arachidi (tracce)","")),IF(AS38=1,"soia",IF(AS38=2,"soia (tracce)","")),IF(AT38=1,"sesamo",IF(AT38=2,"sesamo (tracce)","")),IF(AU38=1,"sedano",IF(AU38=2,"sedano (tracce)","")),IF(AV38=1,"senape",IF(AV38=2,"senape (tracce)","")),IF(AW38=1,"solfiti",IF(AW38=2,"solfiti (tracce)","")),IF(AX38=1,"lupini",IF(AX38=2,"lupini (tracce)","")),IF(AY38=1,"nichel",IF(AY38=2,"nichel (tracce)","")),IF(AZ38=1,"FODMAP",IF(AZ38=2,"FODMAP (tracce)","")))</f>
        <v>pesce</v>
      </c>
      <c r="BB38" s="12" t="n">
        <f aca="false">ROUND(4*C38+4*D38+9*E38+2*N(F38),0)</f>
        <v>71</v>
      </c>
      <c r="BC38" s="12" t="s">
        <v>61</v>
      </c>
      <c r="BD38" s="12"/>
    </row>
    <row r="39" customFormat="false" ht="15" hidden="false" customHeight="false" outlineLevel="0" collapsed="false">
      <c r="A39" s="8" t="s">
        <v>157</v>
      </c>
      <c r="B39" s="9" t="n">
        <v>80</v>
      </c>
      <c r="C39" s="10" t="n">
        <v>0</v>
      </c>
      <c r="D39" s="10" t="n">
        <v>16.7</v>
      </c>
      <c r="E39" s="10" t="n">
        <v>1.4</v>
      </c>
      <c r="F39" s="11" t="n">
        <v>0</v>
      </c>
      <c r="G39" s="11" t="n">
        <v>0</v>
      </c>
      <c r="H39" s="11" t="n">
        <v>0.3</v>
      </c>
      <c r="I39" s="11" t="n">
        <v>0.4</v>
      </c>
      <c r="J39" s="11" t="n">
        <v>0.4</v>
      </c>
      <c r="K39" s="11" t="n">
        <v>50</v>
      </c>
      <c r="L39" s="11" t="n">
        <v>81</v>
      </c>
      <c r="M39" s="11" t="n">
        <v>263</v>
      </c>
      <c r="N39" s="11" t="n">
        <v>20</v>
      </c>
      <c r="O39" s="11" t="n">
        <v>190</v>
      </c>
      <c r="P39" s="11" t="n">
        <v>25</v>
      </c>
      <c r="Q39" s="11" t="n">
        <v>0.3</v>
      </c>
      <c r="R39" s="11" t="n">
        <v>0.4</v>
      </c>
      <c r="S39" s="11" t="n">
        <v>10</v>
      </c>
      <c r="T39" s="11" t="n">
        <v>0</v>
      </c>
      <c r="U39" s="11" t="n">
        <v>1</v>
      </c>
      <c r="V39" s="11" t="n">
        <v>0.5</v>
      </c>
      <c r="W39" s="11" t="n">
        <v>0.1</v>
      </c>
      <c r="X39" s="11" t="n">
        <v>0.1</v>
      </c>
      <c r="Y39" s="11" t="n">
        <v>2.5</v>
      </c>
      <c r="Z39" s="11" t="n">
        <v>0.2</v>
      </c>
      <c r="AA39" s="11" t="n">
        <v>10</v>
      </c>
      <c r="AB39" s="11" t="n">
        <v>1.5</v>
      </c>
      <c r="AC39" s="12" t="s">
        <v>153</v>
      </c>
      <c r="AD39" s="12" t="s">
        <v>158</v>
      </c>
      <c r="AE39" s="12" t="s">
        <v>66</v>
      </c>
      <c r="AF39" s="12" t="s">
        <v>69</v>
      </c>
      <c r="AG39" s="12"/>
      <c r="AH39" s="12"/>
      <c r="AI39" s="12"/>
      <c r="AJ39" s="13" t="n">
        <v>0</v>
      </c>
      <c r="AK39" s="13" t="n">
        <v>0</v>
      </c>
      <c r="AL39" s="13" t="n">
        <v>0</v>
      </c>
      <c r="AM39" s="13" t="n">
        <v>0</v>
      </c>
      <c r="AN39" s="13" t="n">
        <v>1</v>
      </c>
      <c r="AO39" s="13" t="n">
        <v>0</v>
      </c>
      <c r="AP39" s="13" t="n">
        <v>0</v>
      </c>
      <c r="AQ39" s="13" t="n">
        <v>0</v>
      </c>
      <c r="AR39" s="13" t="n">
        <v>0</v>
      </c>
      <c r="AS39" s="13" t="n">
        <v>0</v>
      </c>
      <c r="AT39" s="13" t="n">
        <v>0</v>
      </c>
      <c r="AU39" s="13" t="n">
        <v>0</v>
      </c>
      <c r="AV39" s="13" t="n">
        <v>0</v>
      </c>
      <c r="AW39" s="13" t="n">
        <v>0</v>
      </c>
      <c r="AX39" s="13" t="n">
        <v>0</v>
      </c>
      <c r="AY39" s="13" t="n">
        <v>0</v>
      </c>
      <c r="AZ39" s="13" t="n">
        <v>0</v>
      </c>
      <c r="BA39" s="12" t="str">
        <f aca="false">_xlfn.TEXTJOIN(", ",TRUE(),IF(AJ39=1,"glutine",IF(AJ39=2,"glutine (tracce)","")),IF(AK39=1,"latte",IF(AK39=2,"latte (tracce)","")),IF(AL39=1,"lattosio",IF(AL39=2,"lattosio (tracce)","")),IF(AM39=1,"uova",IF(AM39=2,"uova (tracce)","")),IF(AN39=1,"pesce",IF(AN39=2,"pesce (tracce)","")),IF(AO39=1,"crostacei",IF(AO39=2,"crostacei (tracce)","")),IF(AP39=1,"molluschi",IF(AP39=2,"molluschi (tracce)","")),IF(AQ39=1,"frutta a guscio",IF(AQ39=2,"frutta a guscio (tracce)","")),IF(AR39=1,"arachidi",IF(AR39=2,"arachidi (tracce)","")),IF(AS39=1,"soia",IF(AS39=2,"soia (tracce)","")),IF(AT39=1,"sesamo",IF(AT39=2,"sesamo (tracce)","")),IF(AU39=1,"sedano",IF(AU39=2,"sedano (tracce)","")),IF(AV39=1,"senape",IF(AV39=2,"senape (tracce)","")),IF(AW39=1,"solfiti",IF(AW39=2,"solfiti (tracce)","")),IF(AX39=1,"lupini",IF(AX39=2,"lupini (tracce)","")),IF(AY39=1,"nichel",IF(AY39=2,"nichel (tracce)","")),IF(AZ39=1,"FODMAP",IF(AZ39=2,"FODMAP (tracce)","")))</f>
        <v>pesce</v>
      </c>
      <c r="BB39" s="12" t="n">
        <f aca="false">ROUND(4*C39+4*D39+9*E39+2*N(F39),0)</f>
        <v>79</v>
      </c>
      <c r="BC39" s="12" t="s">
        <v>61</v>
      </c>
      <c r="BD39" s="12"/>
    </row>
    <row r="40" customFormat="false" ht="15" hidden="false" customHeight="false" outlineLevel="0" collapsed="false">
      <c r="A40" s="8" t="s">
        <v>159</v>
      </c>
      <c r="B40" s="9" t="n">
        <v>83</v>
      </c>
      <c r="C40" s="10" t="n">
        <v>0</v>
      </c>
      <c r="D40" s="10" t="n">
        <v>16.9</v>
      </c>
      <c r="E40" s="10" t="n">
        <v>1.4</v>
      </c>
      <c r="F40" s="11" t="n">
        <v>0</v>
      </c>
      <c r="G40" s="11" t="n">
        <v>0</v>
      </c>
      <c r="H40" s="11" t="n">
        <v>0.3</v>
      </c>
      <c r="I40" s="11" t="n">
        <v>0.4</v>
      </c>
      <c r="J40" s="11" t="n">
        <v>0.4</v>
      </c>
      <c r="K40" s="11" t="n">
        <v>50</v>
      </c>
      <c r="L40" s="11" t="n">
        <v>100</v>
      </c>
      <c r="M40" s="11" t="n">
        <v>280</v>
      </c>
      <c r="N40" s="11" t="n">
        <v>25</v>
      </c>
      <c r="O40" s="11" t="n">
        <v>195</v>
      </c>
      <c r="P40" s="11" t="n">
        <v>25</v>
      </c>
      <c r="Q40" s="11" t="n">
        <v>0.4</v>
      </c>
      <c r="R40" s="11" t="n">
        <v>0.4</v>
      </c>
      <c r="S40" s="11" t="n">
        <v>10</v>
      </c>
      <c r="T40" s="11" t="n">
        <v>0</v>
      </c>
      <c r="U40" s="11" t="n">
        <v>1</v>
      </c>
      <c r="V40" s="11" t="n">
        <v>0.5</v>
      </c>
      <c r="W40" s="11" t="n">
        <v>0.1</v>
      </c>
      <c r="X40" s="11" t="n">
        <v>0.1</v>
      </c>
      <c r="Y40" s="11" t="n">
        <v>2.5</v>
      </c>
      <c r="Z40" s="11" t="n">
        <v>0.2</v>
      </c>
      <c r="AA40" s="11" t="n">
        <v>10</v>
      </c>
      <c r="AB40" s="11" t="n">
        <v>1.5</v>
      </c>
      <c r="AC40" s="12" t="s">
        <v>153</v>
      </c>
      <c r="AD40" s="12" t="s">
        <v>160</v>
      </c>
      <c r="AE40" s="12" t="s">
        <v>66</v>
      </c>
      <c r="AF40" s="12" t="s">
        <v>69</v>
      </c>
      <c r="AG40" s="12"/>
      <c r="AH40" s="12"/>
      <c r="AI40" s="12"/>
      <c r="AJ40" s="13" t="n">
        <v>0</v>
      </c>
      <c r="AK40" s="13" t="n">
        <v>0</v>
      </c>
      <c r="AL40" s="13" t="n">
        <v>0</v>
      </c>
      <c r="AM40" s="13" t="n">
        <v>0</v>
      </c>
      <c r="AN40" s="13" t="n">
        <v>1</v>
      </c>
      <c r="AO40" s="13" t="n">
        <v>0</v>
      </c>
      <c r="AP40" s="13" t="n">
        <v>0</v>
      </c>
      <c r="AQ40" s="13" t="n">
        <v>0</v>
      </c>
      <c r="AR40" s="13" t="n">
        <v>0</v>
      </c>
      <c r="AS40" s="13" t="n">
        <v>0</v>
      </c>
      <c r="AT40" s="13" t="n">
        <v>0</v>
      </c>
      <c r="AU40" s="13" t="n">
        <v>0</v>
      </c>
      <c r="AV40" s="13" t="n">
        <v>0</v>
      </c>
      <c r="AW40" s="13" t="n">
        <v>0</v>
      </c>
      <c r="AX40" s="13" t="n">
        <v>0</v>
      </c>
      <c r="AY40" s="13" t="n">
        <v>0</v>
      </c>
      <c r="AZ40" s="13" t="n">
        <v>0</v>
      </c>
      <c r="BA40" s="12" t="str">
        <f aca="false">_xlfn.TEXTJOIN(", ",TRUE(),IF(AJ40=1,"glutine",IF(AJ40=2,"glutine (tracce)","")),IF(AK40=1,"latte",IF(AK40=2,"latte (tracce)","")),IF(AL40=1,"lattosio",IF(AL40=2,"lattosio (tracce)","")),IF(AM40=1,"uova",IF(AM40=2,"uova (tracce)","")),IF(AN40=1,"pesce",IF(AN40=2,"pesce (tracce)","")),IF(AO40=1,"crostacei",IF(AO40=2,"crostacei (tracce)","")),IF(AP40=1,"molluschi",IF(AP40=2,"molluschi (tracce)","")),IF(AQ40=1,"frutta a guscio",IF(AQ40=2,"frutta a guscio (tracce)","")),IF(AR40=1,"arachidi",IF(AR40=2,"arachidi (tracce)","")),IF(AS40=1,"soia",IF(AS40=2,"soia (tracce)","")),IF(AT40=1,"sesamo",IF(AT40=2,"sesamo (tracce)","")),IF(AU40=1,"sedano",IF(AU40=2,"sedano (tracce)","")),IF(AV40=1,"senape",IF(AV40=2,"senape (tracce)","")),IF(AW40=1,"solfiti",IF(AW40=2,"solfiti (tracce)","")),IF(AX40=1,"lupini",IF(AX40=2,"lupini (tracce)","")),IF(AY40=1,"nichel",IF(AY40=2,"nichel (tracce)","")),IF(AZ40=1,"FODMAP",IF(AZ40=2,"FODMAP (tracce)","")))</f>
        <v>pesce</v>
      </c>
      <c r="BB40" s="12" t="n">
        <f aca="false">ROUND(4*C40+4*D40+9*E40+2*N(F40),0)</f>
        <v>80</v>
      </c>
      <c r="BC40" s="12" t="s">
        <v>61</v>
      </c>
      <c r="BD40" s="12"/>
    </row>
    <row r="41" customFormat="false" ht="15" hidden="false" customHeight="false" outlineLevel="0" collapsed="false">
      <c r="A41" s="8" t="s">
        <v>161</v>
      </c>
      <c r="B41" s="9" t="n">
        <v>121</v>
      </c>
      <c r="C41" s="10" t="n">
        <v>0</v>
      </c>
      <c r="D41" s="10" t="n">
        <v>19.7</v>
      </c>
      <c r="E41" s="10" t="n">
        <v>4.6</v>
      </c>
      <c r="F41" s="11" t="n">
        <v>0</v>
      </c>
      <c r="G41" s="11" t="n">
        <v>0</v>
      </c>
      <c r="H41" s="11" t="n">
        <v>1.2</v>
      </c>
      <c r="I41" s="11" t="n">
        <v>1.3</v>
      </c>
      <c r="J41" s="11" t="n">
        <v>1.6</v>
      </c>
      <c r="K41" s="11" t="n">
        <v>60</v>
      </c>
      <c r="L41" s="11" t="n">
        <v>70</v>
      </c>
      <c r="M41" s="11" t="n">
        <v>350</v>
      </c>
      <c r="N41" s="11" t="n">
        <v>25</v>
      </c>
      <c r="O41" s="11" t="n">
        <v>220</v>
      </c>
      <c r="P41" s="11" t="n">
        <v>30</v>
      </c>
      <c r="Q41" s="11" t="n">
        <v>0.4</v>
      </c>
      <c r="R41" s="11" t="n">
        <v>0.4</v>
      </c>
      <c r="S41" s="11" t="n">
        <v>20</v>
      </c>
      <c r="T41" s="11" t="n">
        <v>0</v>
      </c>
      <c r="U41" s="11" t="n">
        <v>3</v>
      </c>
      <c r="V41" s="11" t="n">
        <v>1</v>
      </c>
      <c r="W41" s="11" t="n">
        <v>0.1</v>
      </c>
      <c r="X41" s="11" t="n">
        <v>0.1</v>
      </c>
      <c r="Y41" s="11" t="n">
        <v>5</v>
      </c>
      <c r="Z41" s="11" t="n">
        <v>0.4</v>
      </c>
      <c r="AA41" s="11" t="n">
        <v>10</v>
      </c>
      <c r="AB41" s="11" t="n">
        <v>2</v>
      </c>
      <c r="AC41" s="12" t="s">
        <v>153</v>
      </c>
      <c r="AD41" s="12" t="s">
        <v>162</v>
      </c>
      <c r="AE41" s="12" t="s">
        <v>66</v>
      </c>
      <c r="AF41" s="12" t="s">
        <v>69</v>
      </c>
      <c r="AG41" s="12"/>
      <c r="AH41" s="12"/>
      <c r="AI41" s="12"/>
      <c r="AJ41" s="13" t="n">
        <v>0</v>
      </c>
      <c r="AK41" s="13" t="n">
        <v>0</v>
      </c>
      <c r="AL41" s="13" t="n">
        <v>0</v>
      </c>
      <c r="AM41" s="13" t="n">
        <v>0</v>
      </c>
      <c r="AN41" s="13" t="n">
        <v>1</v>
      </c>
      <c r="AO41" s="13" t="n">
        <v>0</v>
      </c>
      <c r="AP41" s="13" t="n">
        <v>0</v>
      </c>
      <c r="AQ41" s="13" t="n">
        <v>0</v>
      </c>
      <c r="AR41" s="13" t="n">
        <v>0</v>
      </c>
      <c r="AS41" s="13" t="n">
        <v>0</v>
      </c>
      <c r="AT41" s="13" t="n">
        <v>0</v>
      </c>
      <c r="AU41" s="13" t="n">
        <v>0</v>
      </c>
      <c r="AV41" s="13" t="n">
        <v>0</v>
      </c>
      <c r="AW41" s="13" t="n">
        <v>0</v>
      </c>
      <c r="AX41" s="13" t="n">
        <v>0</v>
      </c>
      <c r="AY41" s="13" t="n">
        <v>0</v>
      </c>
      <c r="AZ41" s="13" t="n">
        <v>0</v>
      </c>
      <c r="BA41" s="12" t="str">
        <f aca="false">_xlfn.TEXTJOIN(", ",TRUE(),IF(AJ41=1,"glutine",IF(AJ41=2,"glutine (tracce)","")),IF(AK41=1,"latte",IF(AK41=2,"latte (tracce)","")),IF(AL41=1,"lattosio",IF(AL41=2,"lattosio (tracce)","")),IF(AM41=1,"uova",IF(AM41=2,"uova (tracce)","")),IF(AN41=1,"pesce",IF(AN41=2,"pesce (tracce)","")),IF(AO41=1,"crostacei",IF(AO41=2,"crostacei (tracce)","")),IF(AP41=1,"molluschi",IF(AP41=2,"molluschi (tracce)","")),IF(AQ41=1,"frutta a guscio",IF(AQ41=2,"frutta a guscio (tracce)","")),IF(AR41=1,"arachidi",IF(AR41=2,"arachidi (tracce)","")),IF(AS41=1,"soia",IF(AS41=2,"soia (tracce)","")),IF(AT41=1,"sesamo",IF(AT41=2,"sesamo (tracce)","")),IF(AU41=1,"sedano",IF(AU41=2,"sedano (tracce)","")),IF(AV41=1,"senape",IF(AV41=2,"senape (tracce)","")),IF(AW41=1,"solfiti",IF(AW41=2,"solfiti (tracce)","")),IF(AX41=1,"lupini",IF(AX41=2,"lupini (tracce)","")),IF(AY41=1,"nichel",IF(AY41=2,"nichel (tracce)","")),IF(AZ41=1,"FODMAP",IF(AZ41=2,"FODMAP (tracce)","")))</f>
        <v>pesce</v>
      </c>
      <c r="BB41" s="12" t="n">
        <f aca="false">ROUND(4*C41+4*D41+9*E41+2*N(F41),0)</f>
        <v>120</v>
      </c>
      <c r="BC41" s="12" t="s">
        <v>61</v>
      </c>
      <c r="BD41" s="12" t="s">
        <v>163</v>
      </c>
    </row>
    <row r="42" customFormat="false" ht="15" hidden="false" customHeight="false" outlineLevel="0" collapsed="false">
      <c r="A42" s="8" t="s">
        <v>164</v>
      </c>
      <c r="B42" s="9" t="n">
        <v>82</v>
      </c>
      <c r="C42" s="10" t="n">
        <v>0</v>
      </c>
      <c r="D42" s="10" t="n">
        <v>16.5</v>
      </c>
      <c r="E42" s="10" t="n">
        <v>1.5</v>
      </c>
      <c r="F42" s="11" t="n">
        <v>0</v>
      </c>
      <c r="G42" s="11" t="n">
        <v>0</v>
      </c>
      <c r="H42" s="11" t="n">
        <v>0.4</v>
      </c>
      <c r="I42" s="11" t="n">
        <v>0.4</v>
      </c>
      <c r="J42" s="11" t="n">
        <v>0.5</v>
      </c>
      <c r="K42" s="11" t="n">
        <v>50</v>
      </c>
      <c r="L42" s="11" t="n">
        <v>70</v>
      </c>
      <c r="M42" s="11" t="n">
        <v>300</v>
      </c>
      <c r="N42" s="11" t="n">
        <v>20</v>
      </c>
      <c r="O42" s="11" t="n">
        <v>200</v>
      </c>
      <c r="P42" s="11" t="n">
        <v>30</v>
      </c>
      <c r="Q42" s="11" t="n">
        <v>0.3</v>
      </c>
      <c r="R42" s="11" t="n">
        <v>0.4</v>
      </c>
      <c r="S42" s="11" t="n">
        <v>15</v>
      </c>
      <c r="T42" s="11" t="n">
        <v>0</v>
      </c>
      <c r="U42" s="11" t="n">
        <v>3</v>
      </c>
      <c r="V42" s="11" t="n">
        <v>0.5</v>
      </c>
      <c r="W42" s="11" t="n">
        <v>0.1</v>
      </c>
      <c r="X42" s="11" t="n">
        <v>0.12</v>
      </c>
      <c r="Y42" s="11" t="n">
        <v>1.6</v>
      </c>
      <c r="Z42" s="11" t="n">
        <v>0.4</v>
      </c>
      <c r="AA42" s="11" t="n">
        <v>6</v>
      </c>
      <c r="AB42" s="11" t="n">
        <v>0.3</v>
      </c>
      <c r="AC42" s="12" t="s">
        <v>153</v>
      </c>
      <c r="AD42" s="12" t="s">
        <v>165</v>
      </c>
      <c r="AE42" s="12" t="s">
        <v>66</v>
      </c>
      <c r="AF42" s="12" t="s">
        <v>69</v>
      </c>
      <c r="AG42" s="12"/>
      <c r="AH42" s="12"/>
      <c r="AI42" s="12"/>
      <c r="AJ42" s="13" t="n">
        <v>0</v>
      </c>
      <c r="AK42" s="13" t="n">
        <v>0</v>
      </c>
      <c r="AL42" s="13" t="n">
        <v>0</v>
      </c>
      <c r="AM42" s="13" t="n">
        <v>0</v>
      </c>
      <c r="AN42" s="13" t="n">
        <v>1</v>
      </c>
      <c r="AO42" s="13" t="n">
        <v>0</v>
      </c>
      <c r="AP42" s="13" t="n">
        <v>0</v>
      </c>
      <c r="AQ42" s="13" t="n">
        <v>0</v>
      </c>
      <c r="AR42" s="13" t="n">
        <v>0</v>
      </c>
      <c r="AS42" s="13" t="n">
        <v>0</v>
      </c>
      <c r="AT42" s="13" t="n">
        <v>0</v>
      </c>
      <c r="AU42" s="13" t="n">
        <v>0</v>
      </c>
      <c r="AV42" s="13" t="n">
        <v>0</v>
      </c>
      <c r="AW42" s="13" t="n">
        <v>0</v>
      </c>
      <c r="AX42" s="13" t="n">
        <v>0</v>
      </c>
      <c r="AY42" s="13" t="n">
        <v>0</v>
      </c>
      <c r="AZ42" s="13" t="n">
        <v>0</v>
      </c>
      <c r="BA42" s="12" t="str">
        <f aca="false">_xlfn.TEXTJOIN(", ",TRUE(),IF(AJ42=1,"glutine",IF(AJ42=2,"glutine (tracce)","")),IF(AK42=1,"latte",IF(AK42=2,"latte (tracce)","")),IF(AL42=1,"lattosio",IF(AL42=2,"lattosio (tracce)","")),IF(AM42=1,"uova",IF(AM42=2,"uova (tracce)","")),IF(AN42=1,"pesce",IF(AN42=2,"pesce (tracce)","")),IF(AO42=1,"crostacei",IF(AO42=2,"crostacei (tracce)","")),IF(AP42=1,"molluschi",IF(AP42=2,"molluschi (tracce)","")),IF(AQ42=1,"frutta a guscio",IF(AQ42=2,"frutta a guscio (tracce)","")),IF(AR42=1,"arachidi",IF(AR42=2,"arachidi (tracce)","")),IF(AS42=1,"soia",IF(AS42=2,"soia (tracce)","")),IF(AT42=1,"sesamo",IF(AT42=2,"sesamo (tracce)","")),IF(AU42=1,"sedano",IF(AU42=2,"sedano (tracce)","")),IF(AV42=1,"senape",IF(AV42=2,"senape (tracce)","")),IF(AW42=1,"solfiti",IF(AW42=2,"solfiti (tracce)","")),IF(AX42=1,"lupini",IF(AX42=2,"lupini (tracce)","")),IF(AY42=1,"nichel",IF(AY42=2,"nichel (tracce)","")),IF(AZ42=1,"FODMAP",IF(AZ42=2,"FODMAP (tracce)","")))</f>
        <v>pesce</v>
      </c>
      <c r="BB42" s="12" t="n">
        <f aca="false">ROUND(4*C42+4*D42+9*E42+2*N(F42),0)</f>
        <v>80</v>
      </c>
      <c r="BC42" s="12" t="s">
        <v>61</v>
      </c>
      <c r="BD42" s="12" t="s">
        <v>166</v>
      </c>
    </row>
    <row r="43" customFormat="false" ht="15" hidden="false" customHeight="false" outlineLevel="0" collapsed="false">
      <c r="A43" s="8" t="s">
        <v>167</v>
      </c>
      <c r="B43" s="9" t="n">
        <v>208</v>
      </c>
      <c r="C43" s="10" t="n">
        <v>0</v>
      </c>
      <c r="D43" s="10" t="n">
        <v>20.4</v>
      </c>
      <c r="E43" s="10" t="n">
        <v>13.4</v>
      </c>
      <c r="F43" s="11" t="n">
        <v>0</v>
      </c>
      <c r="G43" s="11" t="n">
        <v>0</v>
      </c>
      <c r="H43" s="11" t="n">
        <v>3.05</v>
      </c>
      <c r="I43" s="11" t="n">
        <v>3.77</v>
      </c>
      <c r="J43" s="11" t="n">
        <v>3.89</v>
      </c>
      <c r="K43" s="11" t="n">
        <v>55</v>
      </c>
      <c r="L43" s="11" t="n">
        <v>59</v>
      </c>
      <c r="M43" s="11" t="n">
        <v>363</v>
      </c>
      <c r="N43" s="11" t="n">
        <v>9</v>
      </c>
      <c r="O43" s="11" t="n">
        <v>240</v>
      </c>
      <c r="P43" s="11" t="n">
        <v>27</v>
      </c>
      <c r="Q43" s="11" t="n">
        <v>0.34</v>
      </c>
      <c r="R43" s="11" t="n">
        <v>0.36</v>
      </c>
      <c r="S43" s="11" t="n">
        <v>58</v>
      </c>
      <c r="T43" s="11" t="n">
        <v>3.9</v>
      </c>
      <c r="U43" s="11" t="n">
        <v>11</v>
      </c>
      <c r="V43" s="11" t="n">
        <v>3.55</v>
      </c>
      <c r="W43" s="11" t="n">
        <v>0.21</v>
      </c>
      <c r="X43" s="11" t="n">
        <v>0.16</v>
      </c>
      <c r="Y43" s="11" t="n">
        <v>8.67</v>
      </c>
      <c r="Z43" s="11" t="n">
        <v>0.64</v>
      </c>
      <c r="AA43" s="11" t="n">
        <v>26</v>
      </c>
      <c r="AB43" s="11" t="n">
        <v>3.23</v>
      </c>
      <c r="AC43" s="12" t="s">
        <v>153</v>
      </c>
      <c r="AD43" s="12" t="s">
        <v>168</v>
      </c>
      <c r="AE43" s="12" t="s">
        <v>66</v>
      </c>
      <c r="AF43" s="12" t="s">
        <v>69</v>
      </c>
      <c r="AG43" s="12"/>
      <c r="AH43" s="12"/>
      <c r="AI43" s="12"/>
      <c r="AJ43" s="13" t="n">
        <v>0</v>
      </c>
      <c r="AK43" s="13" t="n">
        <v>0</v>
      </c>
      <c r="AL43" s="13" t="n">
        <v>0</v>
      </c>
      <c r="AM43" s="13" t="n">
        <v>0</v>
      </c>
      <c r="AN43" s="13" t="n">
        <v>1</v>
      </c>
      <c r="AO43" s="13" t="n">
        <v>0</v>
      </c>
      <c r="AP43" s="13" t="n">
        <v>0</v>
      </c>
      <c r="AQ43" s="13" t="n">
        <v>0</v>
      </c>
      <c r="AR43" s="13" t="n">
        <v>0</v>
      </c>
      <c r="AS43" s="13" t="n">
        <v>0</v>
      </c>
      <c r="AT43" s="13" t="n">
        <v>0</v>
      </c>
      <c r="AU43" s="13" t="n">
        <v>0</v>
      </c>
      <c r="AV43" s="13" t="n">
        <v>0</v>
      </c>
      <c r="AW43" s="13" t="n">
        <v>0</v>
      </c>
      <c r="AX43" s="13" t="n">
        <v>0</v>
      </c>
      <c r="AY43" s="13" t="n">
        <v>0</v>
      </c>
      <c r="AZ43" s="13" t="n">
        <v>0</v>
      </c>
      <c r="BA43" s="12" t="str">
        <f aca="false">_xlfn.TEXTJOIN(", ",TRUE(),IF(AJ43=1,"glutine",IF(AJ43=2,"glutine (tracce)","")),IF(AK43=1,"latte",IF(AK43=2,"latte (tracce)","")),IF(AL43=1,"lattosio",IF(AL43=2,"lattosio (tracce)","")),IF(AM43=1,"uova",IF(AM43=2,"uova (tracce)","")),IF(AN43=1,"pesce",IF(AN43=2,"pesce (tracce)","")),IF(AO43=1,"crostacei",IF(AO43=2,"crostacei (tracce)","")),IF(AP43=1,"molluschi",IF(AP43=2,"molluschi (tracce)","")),IF(AQ43=1,"frutta a guscio",IF(AQ43=2,"frutta a guscio (tracce)","")),IF(AR43=1,"arachidi",IF(AR43=2,"arachidi (tracce)","")),IF(AS43=1,"soia",IF(AS43=2,"soia (tracce)","")),IF(AT43=1,"sesamo",IF(AT43=2,"sesamo (tracce)","")),IF(AU43=1,"sedano",IF(AU43=2,"sedano (tracce)","")),IF(AV43=1,"senape",IF(AV43=2,"senape (tracce)","")),IF(AW43=1,"solfiti",IF(AW43=2,"solfiti (tracce)","")),IF(AX43=1,"lupini",IF(AX43=2,"lupini (tracce)","")),IF(AY43=1,"nichel",IF(AY43=2,"nichel (tracce)","")),IF(AZ43=1,"FODMAP",IF(AZ43=2,"FODMAP (tracce)","")))</f>
        <v>pesce</v>
      </c>
      <c r="BB43" s="12" t="n">
        <f aca="false">ROUND(4*C43+4*D43+9*E43+2*N(F43),0)</f>
        <v>202</v>
      </c>
      <c r="BC43" s="12" t="s">
        <v>70</v>
      </c>
      <c r="BD43" s="12"/>
    </row>
    <row r="44" customFormat="false" ht="15" hidden="false" customHeight="false" outlineLevel="0" collapsed="false">
      <c r="A44" s="8" t="s">
        <v>169</v>
      </c>
      <c r="B44" s="9" t="n">
        <v>180</v>
      </c>
      <c r="C44" s="10" t="n">
        <v>0</v>
      </c>
      <c r="D44" s="10" t="n">
        <v>22.5</v>
      </c>
      <c r="E44" s="10" t="n">
        <v>10</v>
      </c>
      <c r="F44" s="11" t="n">
        <v>0</v>
      </c>
      <c r="G44" s="11" t="n">
        <v>0</v>
      </c>
      <c r="H44" s="11" t="n">
        <v>2</v>
      </c>
      <c r="I44" s="11" t="n">
        <v>4</v>
      </c>
      <c r="J44" s="11" t="n">
        <v>3</v>
      </c>
      <c r="K44" s="11" t="n">
        <v>50</v>
      </c>
      <c r="L44" s="11" t="n">
        <v>1200</v>
      </c>
      <c r="M44" s="11" t="n">
        <v>350</v>
      </c>
      <c r="N44" s="11" t="n">
        <v>10</v>
      </c>
      <c r="O44" s="11" t="n">
        <v>220</v>
      </c>
      <c r="P44" s="11" t="n">
        <v>25</v>
      </c>
      <c r="Q44" s="11" t="n">
        <v>0.5</v>
      </c>
      <c r="R44" s="11" t="n">
        <v>0.4</v>
      </c>
      <c r="S44" s="11" t="n">
        <v>30</v>
      </c>
      <c r="T44" s="11" t="n">
        <v>0</v>
      </c>
      <c r="U44" s="11" t="n">
        <v>10</v>
      </c>
      <c r="V44" s="11" t="n">
        <v>2</v>
      </c>
      <c r="W44" s="11" t="n">
        <v>0.1</v>
      </c>
      <c r="X44" s="11" t="n">
        <v>0.15</v>
      </c>
      <c r="Y44" s="11" t="n">
        <v>7</v>
      </c>
      <c r="Z44" s="11" t="n">
        <v>0.5</v>
      </c>
      <c r="AA44" s="11" t="n">
        <v>10</v>
      </c>
      <c r="AB44" s="11" t="n">
        <v>3</v>
      </c>
      <c r="AC44" s="12" t="s">
        <v>153</v>
      </c>
      <c r="AD44" s="12" t="s">
        <v>170</v>
      </c>
      <c r="AE44" s="12" t="s">
        <v>66</v>
      </c>
      <c r="AF44" s="12" t="s">
        <v>84</v>
      </c>
      <c r="AG44" s="12"/>
      <c r="AH44" s="12"/>
      <c r="AI44" s="12"/>
      <c r="AJ44" s="13" t="n">
        <v>0</v>
      </c>
      <c r="AK44" s="13" t="n">
        <v>0</v>
      </c>
      <c r="AL44" s="13" t="n">
        <v>0</v>
      </c>
      <c r="AM44" s="13" t="n">
        <v>0</v>
      </c>
      <c r="AN44" s="13" t="n">
        <v>1</v>
      </c>
      <c r="AO44" s="13" t="n">
        <v>0</v>
      </c>
      <c r="AP44" s="13" t="n">
        <v>0</v>
      </c>
      <c r="AQ44" s="13" t="n">
        <v>0</v>
      </c>
      <c r="AR44" s="13" t="n">
        <v>0</v>
      </c>
      <c r="AS44" s="13" t="n">
        <v>0</v>
      </c>
      <c r="AT44" s="13" t="n">
        <v>0</v>
      </c>
      <c r="AU44" s="13" t="n">
        <v>0</v>
      </c>
      <c r="AV44" s="13" t="n">
        <v>0</v>
      </c>
      <c r="AW44" s="13" t="n">
        <v>0</v>
      </c>
      <c r="AX44" s="13" t="n">
        <v>0</v>
      </c>
      <c r="AY44" s="13" t="n">
        <v>0</v>
      </c>
      <c r="AZ44" s="13" t="n">
        <v>0</v>
      </c>
      <c r="BA44" s="12" t="str">
        <f aca="false">_xlfn.TEXTJOIN(", ",TRUE(),IF(AJ44=1,"glutine",IF(AJ44=2,"glutine (tracce)","")),IF(AK44=1,"latte",IF(AK44=2,"latte (tracce)","")),IF(AL44=1,"lattosio",IF(AL44=2,"lattosio (tracce)","")),IF(AM44=1,"uova",IF(AM44=2,"uova (tracce)","")),IF(AN44=1,"pesce",IF(AN44=2,"pesce (tracce)","")),IF(AO44=1,"crostacei",IF(AO44=2,"crostacei (tracce)","")),IF(AP44=1,"molluschi",IF(AP44=2,"molluschi (tracce)","")),IF(AQ44=1,"frutta a guscio",IF(AQ44=2,"frutta a guscio (tracce)","")),IF(AR44=1,"arachidi",IF(AR44=2,"arachidi (tracce)","")),IF(AS44=1,"soia",IF(AS44=2,"soia (tracce)","")),IF(AT44=1,"sesamo",IF(AT44=2,"sesamo (tracce)","")),IF(AU44=1,"sedano",IF(AU44=2,"sedano (tracce)","")),IF(AV44=1,"senape",IF(AV44=2,"senape (tracce)","")),IF(AW44=1,"solfiti",IF(AW44=2,"solfiti (tracce)","")),IF(AX44=1,"lupini",IF(AX44=2,"lupini (tracce)","")),IF(AY44=1,"nichel",IF(AY44=2,"nichel (tracce)","")),IF(AZ44=1,"FODMAP",IF(AZ44=2,"FODMAP (tracce)","")))</f>
        <v>pesce</v>
      </c>
      <c r="BB44" s="12" t="n">
        <f aca="false">ROUND(4*C44+4*D44+9*E44+2*N(F44),0)</f>
        <v>180</v>
      </c>
      <c r="BC44" s="12" t="s">
        <v>171</v>
      </c>
      <c r="BD44" s="12"/>
    </row>
    <row r="45" customFormat="false" ht="15" hidden="false" customHeight="false" outlineLevel="0" collapsed="false">
      <c r="A45" s="8" t="s">
        <v>172</v>
      </c>
      <c r="B45" s="9" t="n">
        <v>109</v>
      </c>
      <c r="C45" s="10" t="n">
        <v>0</v>
      </c>
      <c r="D45" s="10" t="n">
        <v>24.4</v>
      </c>
      <c r="E45" s="10" t="n">
        <v>0.5</v>
      </c>
      <c r="F45" s="11" t="n">
        <v>0</v>
      </c>
      <c r="G45" s="11" t="n">
        <v>0</v>
      </c>
      <c r="H45" s="11" t="n">
        <v>0.17</v>
      </c>
      <c r="I45" s="11" t="n">
        <v>0.1</v>
      </c>
      <c r="J45" s="11" t="n">
        <v>0.15</v>
      </c>
      <c r="K45" s="11" t="n">
        <v>39</v>
      </c>
      <c r="L45" s="11" t="n">
        <v>45</v>
      </c>
      <c r="M45" s="11" t="n">
        <v>441</v>
      </c>
      <c r="N45" s="11" t="n">
        <v>4</v>
      </c>
      <c r="O45" s="11" t="n">
        <v>278</v>
      </c>
      <c r="P45" s="11" t="n">
        <v>35</v>
      </c>
      <c r="Q45" s="11" t="n">
        <v>0.77</v>
      </c>
      <c r="R45" s="11" t="n">
        <v>0.37</v>
      </c>
      <c r="S45" s="11" t="n">
        <v>18</v>
      </c>
      <c r="T45" s="11" t="n">
        <v>1</v>
      </c>
      <c r="U45" s="11" t="n">
        <v>1.7</v>
      </c>
      <c r="V45" s="11" t="n">
        <v>0.24</v>
      </c>
      <c r="W45" s="11" t="n">
        <v>0.43</v>
      </c>
      <c r="X45" s="11" t="n">
        <v>0.12</v>
      </c>
      <c r="Y45" s="11" t="n">
        <v>18.4</v>
      </c>
      <c r="Z45" s="11" t="n">
        <v>0.93</v>
      </c>
      <c r="AA45" s="11" t="n">
        <v>2</v>
      </c>
      <c r="AB45" s="11" t="n">
        <v>2.08</v>
      </c>
      <c r="AC45" s="12" t="s">
        <v>153</v>
      </c>
      <c r="AD45" s="12" t="s">
        <v>173</v>
      </c>
      <c r="AE45" s="12" t="s">
        <v>66</v>
      </c>
      <c r="AF45" s="12" t="s">
        <v>69</v>
      </c>
      <c r="AG45" s="12"/>
      <c r="AH45" s="12"/>
      <c r="AI45" s="12"/>
      <c r="AJ45" s="13" t="n">
        <v>0</v>
      </c>
      <c r="AK45" s="13" t="n">
        <v>0</v>
      </c>
      <c r="AL45" s="13" t="n">
        <v>0</v>
      </c>
      <c r="AM45" s="13" t="n">
        <v>0</v>
      </c>
      <c r="AN45" s="13" t="n">
        <v>1</v>
      </c>
      <c r="AO45" s="13" t="n">
        <v>0</v>
      </c>
      <c r="AP45" s="13" t="n">
        <v>0</v>
      </c>
      <c r="AQ45" s="13" t="n">
        <v>0</v>
      </c>
      <c r="AR45" s="13" t="n">
        <v>0</v>
      </c>
      <c r="AS45" s="13" t="n">
        <v>0</v>
      </c>
      <c r="AT45" s="13" t="n">
        <v>0</v>
      </c>
      <c r="AU45" s="13" t="n">
        <v>0</v>
      </c>
      <c r="AV45" s="13" t="n">
        <v>0</v>
      </c>
      <c r="AW45" s="13" t="n">
        <v>0</v>
      </c>
      <c r="AX45" s="13" t="n">
        <v>0</v>
      </c>
      <c r="AY45" s="13" t="n">
        <v>0</v>
      </c>
      <c r="AZ45" s="13" t="n">
        <v>0</v>
      </c>
      <c r="BA45" s="12" t="str">
        <f aca="false">_xlfn.TEXTJOIN(", ",TRUE(),IF(AJ45=1,"glutine",IF(AJ45=2,"glutine (tracce)","")),IF(AK45=1,"latte",IF(AK45=2,"latte (tracce)","")),IF(AL45=1,"lattosio",IF(AL45=2,"lattosio (tracce)","")),IF(AM45=1,"uova",IF(AM45=2,"uova (tracce)","")),IF(AN45=1,"pesce",IF(AN45=2,"pesce (tracce)","")),IF(AO45=1,"crostacei",IF(AO45=2,"crostacei (tracce)","")),IF(AP45=1,"molluschi",IF(AP45=2,"molluschi (tracce)","")),IF(AQ45=1,"frutta a guscio",IF(AQ45=2,"frutta a guscio (tracce)","")),IF(AR45=1,"arachidi",IF(AR45=2,"arachidi (tracce)","")),IF(AS45=1,"soia",IF(AS45=2,"soia (tracce)","")),IF(AT45=1,"sesamo",IF(AT45=2,"sesamo (tracce)","")),IF(AU45=1,"sedano",IF(AU45=2,"sedano (tracce)","")),IF(AV45=1,"senape",IF(AV45=2,"senape (tracce)","")),IF(AW45=1,"solfiti",IF(AW45=2,"solfiti (tracce)","")),IF(AX45=1,"lupini",IF(AX45=2,"lupini (tracce)","")),IF(AY45=1,"nichel",IF(AY45=2,"nichel (tracce)","")),IF(AZ45=1,"FODMAP",IF(AZ45=2,"FODMAP (tracce)","")))</f>
        <v>pesce</v>
      </c>
      <c r="BB45" s="12" t="n">
        <f aca="false">ROUND(4*C45+4*D45+9*E45+2*N(F45),0)</f>
        <v>102</v>
      </c>
      <c r="BC45" s="12" t="s">
        <v>70</v>
      </c>
      <c r="BD45" s="12"/>
    </row>
    <row r="46" customFormat="false" ht="15" hidden="false" customHeight="false" outlineLevel="0" collapsed="false">
      <c r="A46" s="8" t="s">
        <v>174</v>
      </c>
      <c r="B46" s="9" t="n">
        <v>105</v>
      </c>
      <c r="C46" s="10" t="n">
        <v>0</v>
      </c>
      <c r="D46" s="10" t="n">
        <v>24</v>
      </c>
      <c r="E46" s="10" t="n">
        <v>1</v>
      </c>
      <c r="F46" s="11" t="n">
        <v>0</v>
      </c>
      <c r="G46" s="11" t="n">
        <v>0</v>
      </c>
      <c r="H46" s="11" t="n">
        <v>0.3</v>
      </c>
      <c r="I46" s="11" t="n">
        <v>0.2</v>
      </c>
      <c r="J46" s="11" t="n">
        <v>0.4</v>
      </c>
      <c r="K46" s="11" t="n">
        <v>30</v>
      </c>
      <c r="L46" s="11" t="n">
        <v>320</v>
      </c>
      <c r="M46" s="11" t="n">
        <v>237</v>
      </c>
      <c r="N46" s="11" t="n">
        <v>11</v>
      </c>
      <c r="O46" s="11" t="n">
        <v>163</v>
      </c>
      <c r="P46" s="11" t="n">
        <v>27</v>
      </c>
      <c r="Q46" s="11" t="n">
        <v>1.5</v>
      </c>
      <c r="R46" s="11" t="n">
        <v>0.77</v>
      </c>
      <c r="S46" s="11" t="n">
        <v>6</v>
      </c>
      <c r="T46" s="11" t="n">
        <v>0</v>
      </c>
      <c r="U46" s="11" t="n">
        <v>1.2</v>
      </c>
      <c r="V46" s="11" t="n">
        <v>0.33</v>
      </c>
      <c r="W46" s="11" t="n">
        <v>0.03</v>
      </c>
      <c r="X46" s="11" t="n">
        <v>0.07</v>
      </c>
      <c r="Y46" s="11" t="n">
        <v>13.3</v>
      </c>
      <c r="Z46" s="11" t="n">
        <v>0.35</v>
      </c>
      <c r="AA46" s="11" t="n">
        <v>4</v>
      </c>
      <c r="AB46" s="11" t="n">
        <v>2.99</v>
      </c>
      <c r="AC46" s="12" t="s">
        <v>153</v>
      </c>
      <c r="AD46" s="12" t="s">
        <v>175</v>
      </c>
      <c r="AE46" s="12" t="s">
        <v>66</v>
      </c>
      <c r="AF46" s="12" t="s">
        <v>176</v>
      </c>
      <c r="AG46" s="12"/>
      <c r="AH46" s="12" t="n">
        <v>80</v>
      </c>
      <c r="AI46" s="12" t="s">
        <v>177</v>
      </c>
      <c r="AJ46" s="13" t="n">
        <v>0</v>
      </c>
      <c r="AK46" s="13" t="n">
        <v>0</v>
      </c>
      <c r="AL46" s="13" t="n">
        <v>0</v>
      </c>
      <c r="AM46" s="13" t="n">
        <v>0</v>
      </c>
      <c r="AN46" s="13" t="n">
        <v>1</v>
      </c>
      <c r="AO46" s="13" t="n">
        <v>0</v>
      </c>
      <c r="AP46" s="13" t="n">
        <v>0</v>
      </c>
      <c r="AQ46" s="13" t="n">
        <v>0</v>
      </c>
      <c r="AR46" s="13" t="n">
        <v>0</v>
      </c>
      <c r="AS46" s="13" t="n">
        <v>0</v>
      </c>
      <c r="AT46" s="13" t="n">
        <v>0</v>
      </c>
      <c r="AU46" s="13" t="n">
        <v>0</v>
      </c>
      <c r="AV46" s="13" t="n">
        <v>0</v>
      </c>
      <c r="AW46" s="13" t="n">
        <v>0</v>
      </c>
      <c r="AX46" s="13" t="n">
        <v>0</v>
      </c>
      <c r="AY46" s="13" t="n">
        <v>1</v>
      </c>
      <c r="AZ46" s="13" t="n">
        <v>0</v>
      </c>
      <c r="BA46" s="12" t="str">
        <f aca="false">_xlfn.TEXTJOIN(", ",TRUE(),IF(AJ46=1,"glutine",IF(AJ46=2,"glutine (tracce)","")),IF(AK46=1,"latte",IF(AK46=2,"latte (tracce)","")),IF(AL46=1,"lattosio",IF(AL46=2,"lattosio (tracce)","")),IF(AM46=1,"uova",IF(AM46=2,"uova (tracce)","")),IF(AN46=1,"pesce",IF(AN46=2,"pesce (tracce)","")),IF(AO46=1,"crostacei",IF(AO46=2,"crostacei (tracce)","")),IF(AP46=1,"molluschi",IF(AP46=2,"molluschi (tracce)","")),IF(AQ46=1,"frutta a guscio",IF(AQ46=2,"frutta a guscio (tracce)","")),IF(AR46=1,"arachidi",IF(AR46=2,"arachidi (tracce)","")),IF(AS46=1,"soia",IF(AS46=2,"soia (tracce)","")),IF(AT46=1,"sesamo",IF(AT46=2,"sesamo (tracce)","")),IF(AU46=1,"sedano",IF(AU46=2,"sedano (tracce)","")),IF(AV46=1,"senape",IF(AV46=2,"senape (tracce)","")),IF(AW46=1,"solfiti",IF(AW46=2,"solfiti (tracce)","")),IF(AX46=1,"lupini",IF(AX46=2,"lupini (tracce)","")),IF(AY46=1,"nichel",IF(AY46=2,"nichel (tracce)","")),IF(AZ46=1,"FODMAP",IF(AZ46=2,"FODMAP (tracce)","")))</f>
        <v>pesce, nichel</v>
      </c>
      <c r="BB46" s="12" t="n">
        <f aca="false">ROUND(4*C46+4*D46+9*E46+2*N(F46),0)</f>
        <v>105</v>
      </c>
      <c r="BC46" s="12" t="s">
        <v>171</v>
      </c>
      <c r="BD46" s="12"/>
    </row>
    <row r="47" customFormat="false" ht="15" hidden="false" customHeight="false" outlineLevel="0" collapsed="false">
      <c r="A47" s="8" t="s">
        <v>178</v>
      </c>
      <c r="B47" s="9" t="n">
        <v>198</v>
      </c>
      <c r="C47" s="10" t="n">
        <v>0</v>
      </c>
      <c r="D47" s="10" t="n">
        <v>29.1</v>
      </c>
      <c r="E47" s="10" t="n">
        <v>8.2</v>
      </c>
      <c r="F47" s="11" t="n">
        <v>0</v>
      </c>
      <c r="G47" s="11" t="n">
        <v>0</v>
      </c>
      <c r="H47" s="11" t="n">
        <v>1.5</v>
      </c>
      <c r="I47" s="11" t="n">
        <v>2.9</v>
      </c>
      <c r="J47" s="11" t="n">
        <v>2.9</v>
      </c>
      <c r="K47" s="11" t="n">
        <v>18</v>
      </c>
      <c r="L47" s="11" t="n">
        <v>354</v>
      </c>
      <c r="M47" s="11" t="n">
        <v>207</v>
      </c>
      <c r="N47" s="11" t="n">
        <v>13</v>
      </c>
      <c r="O47" s="11" t="n">
        <v>311</v>
      </c>
      <c r="P47" s="11" t="n">
        <v>31</v>
      </c>
      <c r="Q47" s="11" t="n">
        <v>1.4</v>
      </c>
      <c r="R47" s="11" t="n">
        <v>0.9</v>
      </c>
      <c r="S47" s="11" t="n">
        <v>23</v>
      </c>
      <c r="T47" s="11" t="n">
        <v>0</v>
      </c>
      <c r="U47" s="11" t="n">
        <v>6.7</v>
      </c>
      <c r="V47" s="11" t="n">
        <v>0.87</v>
      </c>
      <c r="W47" s="11" t="n">
        <v>0.04</v>
      </c>
      <c r="X47" s="11" t="n">
        <v>0.12</v>
      </c>
      <c r="Y47" s="11" t="n">
        <v>12.4</v>
      </c>
      <c r="Z47" s="11" t="n">
        <v>0.11</v>
      </c>
      <c r="AA47" s="11" t="n">
        <v>5</v>
      </c>
      <c r="AB47" s="11" t="n">
        <v>2.2</v>
      </c>
      <c r="AC47" s="12" t="s">
        <v>153</v>
      </c>
      <c r="AD47" s="12" t="s">
        <v>179</v>
      </c>
      <c r="AE47" s="12" t="s">
        <v>66</v>
      </c>
      <c r="AF47" s="12" t="s">
        <v>176</v>
      </c>
      <c r="AG47" s="12"/>
      <c r="AH47" s="12" t="n">
        <v>80</v>
      </c>
      <c r="AI47" s="12" t="s">
        <v>177</v>
      </c>
      <c r="AJ47" s="13" t="n">
        <v>0</v>
      </c>
      <c r="AK47" s="13" t="n">
        <v>0</v>
      </c>
      <c r="AL47" s="13" t="n">
        <v>0</v>
      </c>
      <c r="AM47" s="13" t="n">
        <v>0</v>
      </c>
      <c r="AN47" s="13" t="n">
        <v>1</v>
      </c>
      <c r="AO47" s="13" t="n">
        <v>0</v>
      </c>
      <c r="AP47" s="13" t="n">
        <v>0</v>
      </c>
      <c r="AQ47" s="13" t="n">
        <v>0</v>
      </c>
      <c r="AR47" s="13" t="n">
        <v>0</v>
      </c>
      <c r="AS47" s="13" t="n">
        <v>0</v>
      </c>
      <c r="AT47" s="13" t="n">
        <v>0</v>
      </c>
      <c r="AU47" s="13" t="n">
        <v>0</v>
      </c>
      <c r="AV47" s="13" t="n">
        <v>0</v>
      </c>
      <c r="AW47" s="13" t="n">
        <v>0</v>
      </c>
      <c r="AX47" s="13" t="n">
        <v>0</v>
      </c>
      <c r="AY47" s="13" t="n">
        <v>1</v>
      </c>
      <c r="AZ47" s="13" t="n">
        <v>0</v>
      </c>
      <c r="BA47" s="12" t="str">
        <f aca="false">_xlfn.TEXTJOIN(", ",TRUE(),IF(AJ47=1,"glutine",IF(AJ47=2,"glutine (tracce)","")),IF(AK47=1,"latte",IF(AK47=2,"latte (tracce)","")),IF(AL47=1,"lattosio",IF(AL47=2,"lattosio (tracce)","")),IF(AM47=1,"uova",IF(AM47=2,"uova (tracce)","")),IF(AN47=1,"pesce",IF(AN47=2,"pesce (tracce)","")),IF(AO47=1,"crostacei",IF(AO47=2,"crostacei (tracce)","")),IF(AP47=1,"molluschi",IF(AP47=2,"molluschi (tracce)","")),IF(AQ47=1,"frutta a guscio",IF(AQ47=2,"frutta a guscio (tracce)","")),IF(AR47=1,"arachidi",IF(AR47=2,"arachidi (tracce)","")),IF(AS47=1,"soia",IF(AS47=2,"soia (tracce)","")),IF(AT47=1,"sesamo",IF(AT47=2,"sesamo (tracce)","")),IF(AU47=1,"sedano",IF(AU47=2,"sedano (tracce)","")),IF(AV47=1,"senape",IF(AV47=2,"senape (tracce)","")),IF(AW47=1,"solfiti",IF(AW47=2,"solfiti (tracce)","")),IF(AX47=1,"lupini",IF(AX47=2,"lupini (tracce)","")),IF(AY47=1,"nichel",IF(AY47=2,"nichel (tracce)","")),IF(AZ47=1,"FODMAP",IF(AZ47=2,"FODMAP (tracce)","")))</f>
        <v>pesce, nichel</v>
      </c>
      <c r="BB47" s="12" t="n">
        <f aca="false">ROUND(4*C47+4*D47+9*E47+2*N(F47),0)</f>
        <v>190</v>
      </c>
      <c r="BC47" s="12" t="s">
        <v>70</v>
      </c>
      <c r="BD47" s="12"/>
    </row>
    <row r="48" customFormat="false" ht="15" hidden="false" customHeight="false" outlineLevel="0" collapsed="false">
      <c r="A48" s="8" t="s">
        <v>180</v>
      </c>
      <c r="B48" s="9" t="n">
        <v>131</v>
      </c>
      <c r="C48" s="10" t="n">
        <v>0</v>
      </c>
      <c r="D48" s="10" t="n">
        <v>20.4</v>
      </c>
      <c r="E48" s="10" t="n">
        <v>4.8</v>
      </c>
      <c r="F48" s="11" t="n">
        <v>0</v>
      </c>
      <c r="G48" s="11" t="n">
        <v>0</v>
      </c>
      <c r="H48" s="11" t="n">
        <v>1.28</v>
      </c>
      <c r="I48" s="11" t="n">
        <v>1.18</v>
      </c>
      <c r="J48" s="11" t="n">
        <v>1.64</v>
      </c>
      <c r="K48" s="11" t="n">
        <v>60</v>
      </c>
      <c r="L48" s="11" t="n">
        <v>104</v>
      </c>
      <c r="M48" s="11" t="n">
        <v>383</v>
      </c>
      <c r="N48" s="11" t="n">
        <v>147</v>
      </c>
      <c r="O48" s="11" t="n">
        <v>174</v>
      </c>
      <c r="P48" s="11" t="n">
        <v>41</v>
      </c>
      <c r="Q48" s="11" t="n">
        <v>3.25</v>
      </c>
      <c r="R48" s="11" t="n">
        <v>1.72</v>
      </c>
      <c r="S48" s="11" t="n">
        <v>15</v>
      </c>
      <c r="T48" s="11" t="n">
        <v>0</v>
      </c>
      <c r="U48" s="11" t="n">
        <v>1.7</v>
      </c>
      <c r="V48" s="11" t="n">
        <v>0.57</v>
      </c>
      <c r="W48" s="11" t="n">
        <v>0.06</v>
      </c>
      <c r="X48" s="11" t="n">
        <v>0.26</v>
      </c>
      <c r="Y48" s="11" t="n">
        <v>14</v>
      </c>
      <c r="Z48" s="11" t="n">
        <v>0.14</v>
      </c>
      <c r="AA48" s="11" t="n">
        <v>9</v>
      </c>
      <c r="AB48" s="11" t="n">
        <v>0.62</v>
      </c>
      <c r="AC48" s="12" t="s">
        <v>153</v>
      </c>
      <c r="AD48" s="12" t="s">
        <v>181</v>
      </c>
      <c r="AE48" s="12" t="s">
        <v>66</v>
      </c>
      <c r="AF48" s="12" t="s">
        <v>69</v>
      </c>
      <c r="AG48" s="12"/>
      <c r="AH48" s="12"/>
      <c r="AI48" s="12"/>
      <c r="AJ48" s="13" t="n">
        <v>0</v>
      </c>
      <c r="AK48" s="13" t="n">
        <v>0</v>
      </c>
      <c r="AL48" s="13" t="n">
        <v>0</v>
      </c>
      <c r="AM48" s="13" t="n">
        <v>0</v>
      </c>
      <c r="AN48" s="13" t="n">
        <v>1</v>
      </c>
      <c r="AO48" s="13" t="n">
        <v>0</v>
      </c>
      <c r="AP48" s="13" t="n">
        <v>0</v>
      </c>
      <c r="AQ48" s="13" t="n">
        <v>0</v>
      </c>
      <c r="AR48" s="13" t="n">
        <v>0</v>
      </c>
      <c r="AS48" s="13" t="n">
        <v>0</v>
      </c>
      <c r="AT48" s="13" t="n">
        <v>0</v>
      </c>
      <c r="AU48" s="13" t="n">
        <v>0</v>
      </c>
      <c r="AV48" s="13" t="n">
        <v>0</v>
      </c>
      <c r="AW48" s="13" t="n">
        <v>0</v>
      </c>
      <c r="AX48" s="13" t="n">
        <v>0</v>
      </c>
      <c r="AY48" s="13" t="n">
        <v>0</v>
      </c>
      <c r="AZ48" s="13" t="n">
        <v>0</v>
      </c>
      <c r="BA48" s="12" t="str">
        <f aca="false">_xlfn.TEXTJOIN(", ",TRUE(),IF(AJ48=1,"glutine",IF(AJ48=2,"glutine (tracce)","")),IF(AK48=1,"latte",IF(AK48=2,"latte (tracce)","")),IF(AL48=1,"lattosio",IF(AL48=2,"lattosio (tracce)","")),IF(AM48=1,"uova",IF(AM48=2,"uova (tracce)","")),IF(AN48=1,"pesce",IF(AN48=2,"pesce (tracce)","")),IF(AO48=1,"crostacei",IF(AO48=2,"crostacei (tracce)","")),IF(AP48=1,"molluschi",IF(AP48=2,"molluschi (tracce)","")),IF(AQ48=1,"frutta a guscio",IF(AQ48=2,"frutta a guscio (tracce)","")),IF(AR48=1,"arachidi",IF(AR48=2,"arachidi (tracce)","")),IF(AS48=1,"soia",IF(AS48=2,"soia (tracce)","")),IF(AT48=1,"sesamo",IF(AT48=2,"sesamo (tracce)","")),IF(AU48=1,"sedano",IF(AU48=2,"sedano (tracce)","")),IF(AV48=1,"senape",IF(AV48=2,"senape (tracce)","")),IF(AW48=1,"solfiti",IF(AW48=2,"solfiti (tracce)","")),IF(AX48=1,"lupini",IF(AX48=2,"lupini (tracce)","")),IF(AY48=1,"nichel",IF(AY48=2,"nichel (tracce)","")),IF(AZ48=1,"FODMAP",IF(AZ48=2,"FODMAP (tracce)","")))</f>
        <v>pesce</v>
      </c>
      <c r="BB48" s="12" t="n">
        <f aca="false">ROUND(4*C48+4*D48+9*E48+2*N(F48),0)</f>
        <v>125</v>
      </c>
      <c r="BC48" s="12" t="s">
        <v>70</v>
      </c>
      <c r="BD48" s="12"/>
    </row>
    <row r="49" customFormat="false" ht="15" hidden="false" customHeight="false" outlineLevel="0" collapsed="false">
      <c r="A49" s="8" t="s">
        <v>182</v>
      </c>
      <c r="B49" s="9" t="n">
        <v>205</v>
      </c>
      <c r="C49" s="10" t="n">
        <v>0</v>
      </c>
      <c r="D49" s="10" t="n">
        <v>18.6</v>
      </c>
      <c r="E49" s="10" t="n">
        <v>13.9</v>
      </c>
      <c r="F49" s="11" t="n">
        <v>0</v>
      </c>
      <c r="G49" s="11" t="n">
        <v>0</v>
      </c>
      <c r="H49" s="11" t="n">
        <v>3.26</v>
      </c>
      <c r="I49" s="11" t="n">
        <v>5.46</v>
      </c>
      <c r="J49" s="11" t="n">
        <v>3.35</v>
      </c>
      <c r="K49" s="11" t="n">
        <v>70</v>
      </c>
      <c r="L49" s="11" t="n">
        <v>90</v>
      </c>
      <c r="M49" s="11" t="n">
        <v>314</v>
      </c>
      <c r="N49" s="11" t="n">
        <v>12</v>
      </c>
      <c r="O49" s="11" t="n">
        <v>217</v>
      </c>
      <c r="P49" s="11" t="n">
        <v>76</v>
      </c>
      <c r="Q49" s="11" t="n">
        <v>1.63</v>
      </c>
      <c r="R49" s="11" t="n">
        <v>0.63</v>
      </c>
      <c r="S49" s="11" t="n">
        <v>50</v>
      </c>
      <c r="T49" s="11" t="n">
        <v>0.4</v>
      </c>
      <c r="U49" s="11" t="n">
        <v>16.1</v>
      </c>
      <c r="V49" s="11" t="n">
        <v>1.52</v>
      </c>
      <c r="W49" s="11" t="n">
        <v>0.18</v>
      </c>
      <c r="X49" s="11" t="n">
        <v>0.31</v>
      </c>
      <c r="Y49" s="11" t="n">
        <v>9.08</v>
      </c>
      <c r="Z49" s="11" t="n">
        <v>0.4</v>
      </c>
      <c r="AA49" s="11" t="n">
        <v>1</v>
      </c>
      <c r="AB49" s="11" t="n">
        <v>8.71</v>
      </c>
      <c r="AC49" s="12" t="s">
        <v>153</v>
      </c>
      <c r="AD49" s="12" t="s">
        <v>183</v>
      </c>
      <c r="AE49" s="12" t="s">
        <v>66</v>
      </c>
      <c r="AF49" s="12" t="s">
        <v>69</v>
      </c>
      <c r="AG49" s="12"/>
      <c r="AH49" s="12"/>
      <c r="AI49" s="12"/>
      <c r="AJ49" s="13" t="n">
        <v>0</v>
      </c>
      <c r="AK49" s="13" t="n">
        <v>0</v>
      </c>
      <c r="AL49" s="13" t="n">
        <v>0</v>
      </c>
      <c r="AM49" s="13" t="n">
        <v>0</v>
      </c>
      <c r="AN49" s="13" t="n">
        <v>1</v>
      </c>
      <c r="AO49" s="13" t="n">
        <v>0</v>
      </c>
      <c r="AP49" s="13" t="n">
        <v>0</v>
      </c>
      <c r="AQ49" s="13" t="n">
        <v>0</v>
      </c>
      <c r="AR49" s="13" t="n">
        <v>0</v>
      </c>
      <c r="AS49" s="13" t="n">
        <v>0</v>
      </c>
      <c r="AT49" s="13" t="n">
        <v>0</v>
      </c>
      <c r="AU49" s="13" t="n">
        <v>0</v>
      </c>
      <c r="AV49" s="13" t="n">
        <v>0</v>
      </c>
      <c r="AW49" s="13" t="n">
        <v>0</v>
      </c>
      <c r="AX49" s="13" t="n">
        <v>0</v>
      </c>
      <c r="AY49" s="13" t="n">
        <v>0</v>
      </c>
      <c r="AZ49" s="13" t="n">
        <v>0</v>
      </c>
      <c r="BA49" s="12" t="str">
        <f aca="false">_xlfn.TEXTJOIN(", ",TRUE(),IF(AJ49=1,"glutine",IF(AJ49=2,"glutine (tracce)","")),IF(AK49=1,"latte",IF(AK49=2,"latte (tracce)","")),IF(AL49=1,"lattosio",IF(AL49=2,"lattosio (tracce)","")),IF(AM49=1,"uova",IF(AM49=2,"uova (tracce)","")),IF(AN49=1,"pesce",IF(AN49=2,"pesce (tracce)","")),IF(AO49=1,"crostacei",IF(AO49=2,"crostacei (tracce)","")),IF(AP49=1,"molluschi",IF(AP49=2,"molluschi (tracce)","")),IF(AQ49=1,"frutta a guscio",IF(AQ49=2,"frutta a guscio (tracce)","")),IF(AR49=1,"arachidi",IF(AR49=2,"arachidi (tracce)","")),IF(AS49=1,"soia",IF(AS49=2,"soia (tracce)","")),IF(AT49=1,"sesamo",IF(AT49=2,"sesamo (tracce)","")),IF(AU49=1,"sedano",IF(AU49=2,"sedano (tracce)","")),IF(AV49=1,"senape",IF(AV49=2,"senape (tracce)","")),IF(AW49=1,"solfiti",IF(AW49=2,"solfiti (tracce)","")),IF(AX49=1,"lupini",IF(AX49=2,"lupini (tracce)","")),IF(AY49=1,"nichel",IF(AY49=2,"nichel (tracce)","")),IF(AZ49=1,"FODMAP",IF(AZ49=2,"FODMAP (tracce)","")))</f>
        <v>pesce</v>
      </c>
      <c r="BB49" s="12" t="n">
        <f aca="false">ROUND(4*C49+4*D49+9*E49+2*N(F49),0)</f>
        <v>200</v>
      </c>
      <c r="BC49" s="12" t="s">
        <v>70</v>
      </c>
      <c r="BD49" s="12"/>
    </row>
    <row r="50" customFormat="false" ht="15" hidden="false" customHeight="false" outlineLevel="0" collapsed="false">
      <c r="A50" s="8" t="s">
        <v>184</v>
      </c>
      <c r="B50" s="9" t="n">
        <v>121</v>
      </c>
      <c r="C50" s="10" t="n">
        <v>0</v>
      </c>
      <c r="D50" s="10" t="n">
        <v>19.8</v>
      </c>
      <c r="E50" s="10" t="n">
        <v>4</v>
      </c>
      <c r="F50" s="11" t="n">
        <v>0</v>
      </c>
      <c r="G50" s="11" t="n">
        <v>0</v>
      </c>
      <c r="H50" s="11" t="n">
        <v>1.1</v>
      </c>
      <c r="I50" s="11" t="n">
        <v>1.5</v>
      </c>
      <c r="J50" s="11" t="n">
        <v>0.9</v>
      </c>
      <c r="K50" s="11" t="n">
        <v>39</v>
      </c>
      <c r="L50" s="11" t="n">
        <v>90</v>
      </c>
      <c r="M50" s="11" t="n">
        <v>288</v>
      </c>
      <c r="N50" s="11" t="n">
        <v>4</v>
      </c>
      <c r="O50" s="11" t="n">
        <v>263</v>
      </c>
      <c r="P50" s="11" t="n">
        <v>27</v>
      </c>
      <c r="Q50" s="11" t="n">
        <v>0.81</v>
      </c>
      <c r="R50" s="11" t="n">
        <v>1.15</v>
      </c>
      <c r="S50" s="11" t="n">
        <v>36</v>
      </c>
      <c r="T50" s="11" t="n">
        <v>1</v>
      </c>
      <c r="U50" s="11" t="n">
        <v>13.9</v>
      </c>
      <c r="V50" s="11" t="n">
        <v>0.5</v>
      </c>
      <c r="W50" s="11" t="n">
        <v>0.04</v>
      </c>
      <c r="X50" s="11" t="n">
        <v>0.1</v>
      </c>
      <c r="Y50" s="11" t="n">
        <v>9.7</v>
      </c>
      <c r="Z50" s="11" t="n">
        <v>0.33</v>
      </c>
      <c r="AA50" s="11" t="n">
        <v>2</v>
      </c>
      <c r="AB50" s="11" t="n">
        <v>1</v>
      </c>
      <c r="AC50" s="12" t="s">
        <v>153</v>
      </c>
      <c r="AD50" s="12" t="s">
        <v>185</v>
      </c>
      <c r="AE50" s="12" t="s">
        <v>66</v>
      </c>
      <c r="AF50" s="12" t="s">
        <v>69</v>
      </c>
      <c r="AG50" s="12"/>
      <c r="AH50" s="12"/>
      <c r="AI50" s="12"/>
      <c r="AJ50" s="13" t="n">
        <v>0</v>
      </c>
      <c r="AK50" s="13" t="n">
        <v>0</v>
      </c>
      <c r="AL50" s="13" t="n">
        <v>0</v>
      </c>
      <c r="AM50" s="13" t="n">
        <v>0</v>
      </c>
      <c r="AN50" s="13" t="n">
        <v>1</v>
      </c>
      <c r="AO50" s="13" t="n">
        <v>0</v>
      </c>
      <c r="AP50" s="13" t="n">
        <v>0</v>
      </c>
      <c r="AQ50" s="13" t="n">
        <v>0</v>
      </c>
      <c r="AR50" s="13" t="n">
        <v>0</v>
      </c>
      <c r="AS50" s="13" t="n">
        <v>0</v>
      </c>
      <c r="AT50" s="13" t="n">
        <v>0</v>
      </c>
      <c r="AU50" s="13" t="n">
        <v>0</v>
      </c>
      <c r="AV50" s="13" t="n">
        <v>0</v>
      </c>
      <c r="AW50" s="13" t="n">
        <v>0</v>
      </c>
      <c r="AX50" s="13" t="n">
        <v>0</v>
      </c>
      <c r="AY50" s="13" t="n">
        <v>0</v>
      </c>
      <c r="AZ50" s="13" t="n">
        <v>0</v>
      </c>
      <c r="BA50" s="12" t="str">
        <f aca="false">_xlfn.TEXTJOIN(", ",TRUE(),IF(AJ50=1,"glutine",IF(AJ50=2,"glutine (tracce)","")),IF(AK50=1,"latte",IF(AK50=2,"latte (tracce)","")),IF(AL50=1,"lattosio",IF(AL50=2,"lattosio (tracce)","")),IF(AM50=1,"uova",IF(AM50=2,"uova (tracce)","")),IF(AN50=1,"pesce",IF(AN50=2,"pesce (tracce)","")),IF(AO50=1,"crostacei",IF(AO50=2,"crostacei (tracce)","")),IF(AP50=1,"molluschi",IF(AP50=2,"molluschi (tracce)","")),IF(AQ50=1,"frutta a guscio",IF(AQ50=2,"frutta a guscio (tracce)","")),IF(AR50=1,"arachidi",IF(AR50=2,"arachidi (tracce)","")),IF(AS50=1,"soia",IF(AS50=2,"soia (tracce)","")),IF(AT50=1,"sesamo",IF(AT50=2,"sesamo (tracce)","")),IF(AU50=1,"sedano",IF(AU50=2,"sedano (tracce)","")),IF(AV50=1,"senape",IF(AV50=2,"senape (tracce)","")),IF(AW50=1,"solfiti",IF(AW50=2,"solfiti (tracce)","")),IF(AX50=1,"lupini",IF(AX50=2,"lupini (tracce)","")),IF(AY50=1,"nichel",IF(AY50=2,"nichel (tracce)","")),IF(AZ50=1,"FODMAP",IF(AZ50=2,"FODMAP (tracce)","")))</f>
        <v>pesce</v>
      </c>
      <c r="BB50" s="12" t="n">
        <f aca="false">ROUND(4*C50+4*D50+9*E50+2*N(F50),0)</f>
        <v>115</v>
      </c>
      <c r="BC50" s="12" t="s">
        <v>70</v>
      </c>
      <c r="BD50" s="12"/>
    </row>
    <row r="51" customFormat="false" ht="15" hidden="false" customHeight="false" outlineLevel="0" collapsed="false">
      <c r="A51" s="8" t="s">
        <v>186</v>
      </c>
      <c r="B51" s="9" t="n">
        <v>141</v>
      </c>
      <c r="C51" s="10" t="n">
        <v>0</v>
      </c>
      <c r="D51" s="10" t="n">
        <v>20.8</v>
      </c>
      <c r="E51" s="10" t="n">
        <v>6.2</v>
      </c>
      <c r="F51" s="11" t="n">
        <v>0</v>
      </c>
      <c r="G51" s="11" t="n">
        <v>0</v>
      </c>
      <c r="H51" s="11" t="n">
        <v>1.8</v>
      </c>
      <c r="I51" s="11" t="n">
        <v>1.8</v>
      </c>
      <c r="J51" s="11" t="n">
        <v>2</v>
      </c>
      <c r="K51" s="11" t="n">
        <v>59</v>
      </c>
      <c r="L51" s="11" t="n">
        <v>35</v>
      </c>
      <c r="M51" s="11" t="n">
        <v>377</v>
      </c>
      <c r="N51" s="11" t="n">
        <v>25</v>
      </c>
      <c r="O51" s="11" t="n">
        <v>250</v>
      </c>
      <c r="P51" s="11" t="n">
        <v>30</v>
      </c>
      <c r="Q51" s="11" t="n">
        <v>0.3</v>
      </c>
      <c r="R51" s="11" t="n">
        <v>0.5</v>
      </c>
      <c r="S51" s="11" t="n">
        <v>60</v>
      </c>
      <c r="T51" s="11" t="n">
        <v>3</v>
      </c>
      <c r="U51" s="11" t="n">
        <v>3.9</v>
      </c>
      <c r="V51" s="11" t="n">
        <v>2</v>
      </c>
      <c r="W51" s="11" t="n">
        <v>0.15</v>
      </c>
      <c r="X51" s="11" t="n">
        <v>0.08</v>
      </c>
      <c r="Y51" s="11" t="n">
        <v>5.6</v>
      </c>
      <c r="Z51" s="11" t="n">
        <v>0.4</v>
      </c>
      <c r="AA51" s="11" t="n">
        <v>13</v>
      </c>
      <c r="AB51" s="11" t="n">
        <v>3.5</v>
      </c>
      <c r="AC51" s="12" t="s">
        <v>153</v>
      </c>
      <c r="AD51" s="12" t="s">
        <v>187</v>
      </c>
      <c r="AE51" s="12" t="s">
        <v>66</v>
      </c>
      <c r="AF51" s="12" t="s">
        <v>69</v>
      </c>
      <c r="AG51" s="12"/>
      <c r="AH51" s="12"/>
      <c r="AI51" s="12"/>
      <c r="AJ51" s="13" t="n">
        <v>0</v>
      </c>
      <c r="AK51" s="13" t="n">
        <v>0</v>
      </c>
      <c r="AL51" s="13" t="n">
        <v>0</v>
      </c>
      <c r="AM51" s="13" t="n">
        <v>0</v>
      </c>
      <c r="AN51" s="13" t="n">
        <v>1</v>
      </c>
      <c r="AO51" s="13" t="n">
        <v>0</v>
      </c>
      <c r="AP51" s="13" t="n">
        <v>0</v>
      </c>
      <c r="AQ51" s="13" t="n">
        <v>0</v>
      </c>
      <c r="AR51" s="13" t="n">
        <v>0</v>
      </c>
      <c r="AS51" s="13" t="n">
        <v>0</v>
      </c>
      <c r="AT51" s="13" t="n">
        <v>0</v>
      </c>
      <c r="AU51" s="13" t="n">
        <v>0</v>
      </c>
      <c r="AV51" s="13" t="n">
        <v>0</v>
      </c>
      <c r="AW51" s="13" t="n">
        <v>0</v>
      </c>
      <c r="AX51" s="13" t="n">
        <v>0</v>
      </c>
      <c r="AY51" s="13" t="n">
        <v>0</v>
      </c>
      <c r="AZ51" s="13" t="n">
        <v>0</v>
      </c>
      <c r="BA51" s="12" t="str">
        <f aca="false">_xlfn.TEXTJOIN(", ",TRUE(),IF(AJ51=1,"glutine",IF(AJ51=2,"glutine (tracce)","")),IF(AK51=1,"latte",IF(AK51=2,"latte (tracce)","")),IF(AL51=1,"lattosio",IF(AL51=2,"lattosio (tracce)","")),IF(AM51=1,"uova",IF(AM51=2,"uova (tracce)","")),IF(AN51=1,"pesce",IF(AN51=2,"pesce (tracce)","")),IF(AO51=1,"crostacei",IF(AO51=2,"crostacei (tracce)","")),IF(AP51=1,"molluschi",IF(AP51=2,"molluschi (tracce)","")),IF(AQ51=1,"frutta a guscio",IF(AQ51=2,"frutta a guscio (tracce)","")),IF(AR51=1,"arachidi",IF(AR51=2,"arachidi (tracce)","")),IF(AS51=1,"soia",IF(AS51=2,"soia (tracce)","")),IF(AT51=1,"sesamo",IF(AT51=2,"sesamo (tracce)","")),IF(AU51=1,"sedano",IF(AU51=2,"sedano (tracce)","")),IF(AV51=1,"senape",IF(AV51=2,"senape (tracce)","")),IF(AW51=1,"solfiti",IF(AW51=2,"solfiti (tracce)","")),IF(AX51=1,"lupini",IF(AX51=2,"lupini (tracce)","")),IF(AY51=1,"nichel",IF(AY51=2,"nichel (tracce)","")),IF(AZ51=1,"FODMAP",IF(AZ51=2,"FODMAP (tracce)","")))</f>
        <v>pesce</v>
      </c>
      <c r="BB51" s="12" t="n">
        <f aca="false">ROUND(4*C51+4*D51+9*E51+2*N(F51),0)</f>
        <v>139</v>
      </c>
      <c r="BC51" s="12" t="s">
        <v>70</v>
      </c>
      <c r="BD51" s="12"/>
    </row>
    <row r="52" customFormat="false" ht="15" hidden="false" customHeight="false" outlineLevel="0" collapsed="false">
      <c r="A52" s="8" t="s">
        <v>188</v>
      </c>
      <c r="B52" s="9" t="n">
        <v>95</v>
      </c>
      <c r="C52" s="10" t="n">
        <v>0</v>
      </c>
      <c r="D52" s="10" t="n">
        <v>21.6</v>
      </c>
      <c r="E52" s="10" t="n">
        <v>0.9</v>
      </c>
      <c r="F52" s="11" t="n">
        <v>0</v>
      </c>
      <c r="G52" s="11" t="n">
        <v>0</v>
      </c>
      <c r="H52" s="11" t="n">
        <v>0.2</v>
      </c>
      <c r="I52" s="11" t="n">
        <v>0.1</v>
      </c>
      <c r="J52" s="11" t="n">
        <v>0.3</v>
      </c>
      <c r="K52" s="11" t="n">
        <v>50</v>
      </c>
      <c r="L52" s="11" t="n">
        <v>400</v>
      </c>
      <c r="M52" s="11" t="n">
        <v>300</v>
      </c>
      <c r="N52" s="11" t="n">
        <v>30</v>
      </c>
      <c r="O52" s="11" t="n">
        <v>200</v>
      </c>
      <c r="P52" s="11" t="n">
        <v>30</v>
      </c>
      <c r="Q52" s="11" t="n">
        <v>0.5</v>
      </c>
      <c r="R52" s="11" t="n">
        <v>0.5</v>
      </c>
      <c r="S52" s="11" t="n">
        <v>10</v>
      </c>
      <c r="T52" s="11" t="n">
        <v>0</v>
      </c>
      <c r="U52" s="11" t="n">
        <v>0.5</v>
      </c>
      <c r="V52" s="11" t="n">
        <v>0.5</v>
      </c>
      <c r="W52" s="11" t="n">
        <v>0.05</v>
      </c>
      <c r="X52" s="11" t="n">
        <v>0.1</v>
      </c>
      <c r="Y52" s="11" t="n">
        <v>2</v>
      </c>
      <c r="Z52" s="11" t="n">
        <v>0.2</v>
      </c>
      <c r="AA52" s="11" t="n">
        <v>7</v>
      </c>
      <c r="AB52" s="11" t="n">
        <v>1</v>
      </c>
      <c r="AC52" s="12" t="s">
        <v>153</v>
      </c>
      <c r="AD52" s="12" t="s">
        <v>189</v>
      </c>
      <c r="AE52" s="12" t="s">
        <v>66</v>
      </c>
      <c r="AF52" s="12" t="s">
        <v>190</v>
      </c>
      <c r="AG52" s="12"/>
      <c r="AH52" s="12"/>
      <c r="AI52" s="12"/>
      <c r="AJ52" s="13" t="n">
        <v>0</v>
      </c>
      <c r="AK52" s="13" t="n">
        <v>0</v>
      </c>
      <c r="AL52" s="13" t="n">
        <v>0</v>
      </c>
      <c r="AM52" s="13" t="n">
        <v>0</v>
      </c>
      <c r="AN52" s="13" t="n">
        <v>1</v>
      </c>
      <c r="AO52" s="13" t="n">
        <v>0</v>
      </c>
      <c r="AP52" s="13" t="n">
        <v>0</v>
      </c>
      <c r="AQ52" s="13" t="n">
        <v>0</v>
      </c>
      <c r="AR52" s="13" t="n">
        <v>0</v>
      </c>
      <c r="AS52" s="13" t="n">
        <v>0</v>
      </c>
      <c r="AT52" s="13" t="n">
        <v>0</v>
      </c>
      <c r="AU52" s="13" t="n">
        <v>0</v>
      </c>
      <c r="AV52" s="13" t="n">
        <v>0</v>
      </c>
      <c r="AW52" s="13" t="n">
        <v>0</v>
      </c>
      <c r="AX52" s="13" t="n">
        <v>0</v>
      </c>
      <c r="AY52" s="13" t="n">
        <v>0</v>
      </c>
      <c r="AZ52" s="13" t="n">
        <v>0</v>
      </c>
      <c r="BA52" s="12" t="str">
        <f aca="false">_xlfn.TEXTJOIN(", ",TRUE(),IF(AJ52=1,"glutine",IF(AJ52=2,"glutine (tracce)","")),IF(AK52=1,"latte",IF(AK52=2,"latte (tracce)","")),IF(AL52=1,"lattosio",IF(AL52=2,"lattosio (tracce)","")),IF(AM52=1,"uova",IF(AM52=2,"uova (tracce)","")),IF(AN52=1,"pesce",IF(AN52=2,"pesce (tracce)","")),IF(AO52=1,"crostacei",IF(AO52=2,"crostacei (tracce)","")),IF(AP52=1,"molluschi",IF(AP52=2,"molluschi (tracce)","")),IF(AQ52=1,"frutta a guscio",IF(AQ52=2,"frutta a guscio (tracce)","")),IF(AR52=1,"arachidi",IF(AR52=2,"arachidi (tracce)","")),IF(AS52=1,"soia",IF(AS52=2,"soia (tracce)","")),IF(AT52=1,"sesamo",IF(AT52=2,"sesamo (tracce)","")),IF(AU52=1,"sedano",IF(AU52=2,"sedano (tracce)","")),IF(AV52=1,"senape",IF(AV52=2,"senape (tracce)","")),IF(AW52=1,"solfiti",IF(AW52=2,"solfiti (tracce)","")),IF(AX52=1,"lupini",IF(AX52=2,"lupini (tracce)","")),IF(AY52=1,"nichel",IF(AY52=2,"nichel (tracce)","")),IF(AZ52=1,"FODMAP",IF(AZ52=2,"FODMAP (tracce)","")))</f>
        <v>pesce</v>
      </c>
      <c r="BB52" s="12" t="n">
        <f aca="false">ROUND(4*C52+4*D52+9*E52+2*N(F52),0)</f>
        <v>95</v>
      </c>
      <c r="BC52" s="12" t="s">
        <v>61</v>
      </c>
      <c r="BD52" s="12" t="s">
        <v>191</v>
      </c>
    </row>
    <row r="53" customFormat="false" ht="15" hidden="false" customHeight="false" outlineLevel="0" collapsed="false">
      <c r="A53" s="14" t="s">
        <v>192</v>
      </c>
      <c r="B53" s="15" t="n">
        <v>85</v>
      </c>
      <c r="C53" s="16" t="n">
        <v>0</v>
      </c>
      <c r="D53" s="16" t="n">
        <v>20.1</v>
      </c>
      <c r="E53" s="16" t="n">
        <v>0.5</v>
      </c>
      <c r="F53" s="17" t="n">
        <v>0</v>
      </c>
      <c r="G53" s="17" t="n">
        <v>0</v>
      </c>
      <c r="H53" s="17" t="n">
        <v>0.1</v>
      </c>
      <c r="I53" s="17" t="n">
        <v>0.08</v>
      </c>
      <c r="J53" s="17" t="n">
        <v>0.15</v>
      </c>
      <c r="K53" s="17" t="n">
        <v>161</v>
      </c>
      <c r="L53" s="17" t="n">
        <v>119</v>
      </c>
      <c r="M53" s="17" t="n">
        <v>264</v>
      </c>
      <c r="N53" s="17" t="n">
        <v>64</v>
      </c>
      <c r="O53" s="17" t="n">
        <v>214</v>
      </c>
      <c r="P53" s="17" t="n">
        <v>22</v>
      </c>
      <c r="Q53" s="17" t="n">
        <v>0.21</v>
      </c>
      <c r="R53" s="17" t="n">
        <v>1.34</v>
      </c>
      <c r="S53" s="17" t="n">
        <v>0</v>
      </c>
      <c r="T53" s="17" t="n">
        <v>0</v>
      </c>
      <c r="U53" s="17" t="n">
        <v>0</v>
      </c>
      <c r="V53" s="17" t="n">
        <v>1.32</v>
      </c>
      <c r="W53" s="17" t="n">
        <v>0.02</v>
      </c>
      <c r="X53" s="17" t="n">
        <v>0.02</v>
      </c>
      <c r="Y53" s="17" t="n">
        <v>2.6</v>
      </c>
      <c r="Z53" s="17" t="n">
        <v>0.16</v>
      </c>
      <c r="AA53" s="17" t="n">
        <v>19</v>
      </c>
      <c r="AB53" s="17" t="n">
        <v>1.11</v>
      </c>
      <c r="AC53" s="18" t="s">
        <v>193</v>
      </c>
      <c r="AD53" s="18" t="s">
        <v>194</v>
      </c>
      <c r="AE53" s="18" t="s">
        <v>66</v>
      </c>
      <c r="AF53" s="18" t="s">
        <v>69</v>
      </c>
      <c r="AG53" s="18"/>
      <c r="AH53" s="18"/>
      <c r="AI53" s="18"/>
      <c r="AJ53" s="7" t="n">
        <v>0</v>
      </c>
      <c r="AK53" s="7" t="n">
        <v>0</v>
      </c>
      <c r="AL53" s="7" t="n">
        <v>0</v>
      </c>
      <c r="AM53" s="7" t="n">
        <v>0</v>
      </c>
      <c r="AN53" s="7" t="n">
        <v>0</v>
      </c>
      <c r="AO53" s="7" t="n">
        <v>1</v>
      </c>
      <c r="AP53" s="7" t="n">
        <v>0</v>
      </c>
      <c r="AQ53" s="7" t="n">
        <v>0</v>
      </c>
      <c r="AR53" s="7" t="n">
        <v>0</v>
      </c>
      <c r="AS53" s="7" t="n">
        <v>0</v>
      </c>
      <c r="AT53" s="7" t="n">
        <v>0</v>
      </c>
      <c r="AU53" s="7" t="n">
        <v>0</v>
      </c>
      <c r="AV53" s="7" t="n">
        <v>0</v>
      </c>
      <c r="AW53" s="7" t="n">
        <v>2</v>
      </c>
      <c r="AX53" s="7" t="n">
        <v>0</v>
      </c>
      <c r="AY53" s="7" t="n">
        <v>1</v>
      </c>
      <c r="AZ53" s="7" t="n">
        <v>0</v>
      </c>
      <c r="BA53" s="18" t="str">
        <f aca="false">_xlfn.TEXTJOIN(", ",TRUE(),IF(AJ53=1,"glutine",IF(AJ53=2,"glutine (tracce)","")),IF(AK53=1,"latte",IF(AK53=2,"latte (tracce)","")),IF(AL53=1,"lattosio",IF(AL53=2,"lattosio (tracce)","")),IF(AM53=1,"uova",IF(AM53=2,"uova (tracce)","")),IF(AN53=1,"pesce",IF(AN53=2,"pesce (tracce)","")),IF(AO53=1,"crostacei",IF(AO53=2,"crostacei (tracce)","")),IF(AP53=1,"molluschi",IF(AP53=2,"molluschi (tracce)","")),IF(AQ53=1,"frutta a guscio",IF(AQ53=2,"frutta a guscio (tracce)","")),IF(AR53=1,"arachidi",IF(AR53=2,"arachidi (tracce)","")),IF(AS53=1,"soia",IF(AS53=2,"soia (tracce)","")),IF(AT53=1,"sesamo",IF(AT53=2,"sesamo (tracce)","")),IF(AU53=1,"sedano",IF(AU53=2,"sedano (tracce)","")),IF(AV53=1,"senape",IF(AV53=2,"senape (tracce)","")),IF(AW53=1,"solfiti",IF(AW53=2,"solfiti (tracce)","")),IF(AX53=1,"lupini",IF(AX53=2,"lupini (tracce)","")),IF(AY53=1,"nichel",IF(AY53=2,"nichel (tracce)","")),IF(AZ53=1,"FODMAP",IF(AZ53=2,"FODMAP (tracce)","")))</f>
        <v>crostacei, solfiti (tracce), nichel</v>
      </c>
      <c r="BB53" s="18" t="n">
        <f aca="false">ROUND(4*C53+4*D53+9*E53+2*N(F53),0)</f>
        <v>85</v>
      </c>
      <c r="BC53" s="18" t="s">
        <v>70</v>
      </c>
      <c r="BD53" s="18"/>
    </row>
    <row r="54" customFormat="false" ht="15" hidden="false" customHeight="false" outlineLevel="0" collapsed="false">
      <c r="A54" s="19" t="s">
        <v>195</v>
      </c>
      <c r="B54" s="20" t="n">
        <v>92</v>
      </c>
      <c r="C54" s="21" t="n">
        <v>3.1</v>
      </c>
      <c r="D54" s="21" t="n">
        <v>15.6</v>
      </c>
      <c r="E54" s="21" t="n">
        <v>1.4</v>
      </c>
      <c r="F54" s="22" t="n">
        <v>0</v>
      </c>
      <c r="G54" s="22" t="n">
        <v>0</v>
      </c>
      <c r="H54" s="22" t="n">
        <v>0.36</v>
      </c>
      <c r="I54" s="22" t="n">
        <v>0.11</v>
      </c>
      <c r="J54" s="22" t="n">
        <v>0.52</v>
      </c>
      <c r="K54" s="22" t="n">
        <v>233</v>
      </c>
      <c r="L54" s="22" t="n">
        <v>44</v>
      </c>
      <c r="M54" s="22" t="n">
        <v>246</v>
      </c>
      <c r="N54" s="22" t="n">
        <v>32</v>
      </c>
      <c r="O54" s="22" t="n">
        <v>221</v>
      </c>
      <c r="P54" s="22" t="n">
        <v>33</v>
      </c>
      <c r="Q54" s="22" t="n">
        <v>0.68</v>
      </c>
      <c r="R54" s="22" t="n">
        <v>1.53</v>
      </c>
      <c r="S54" s="22" t="n">
        <v>10</v>
      </c>
      <c r="T54" s="22" t="n">
        <v>4.7</v>
      </c>
      <c r="U54" s="22" t="n">
        <v>0</v>
      </c>
      <c r="V54" s="22" t="n">
        <v>1.2</v>
      </c>
      <c r="W54" s="22" t="n">
        <v>0.02</v>
      </c>
      <c r="X54" s="22" t="n">
        <v>0.41</v>
      </c>
      <c r="Y54" s="22" t="n">
        <v>2.18</v>
      </c>
      <c r="Z54" s="22" t="n">
        <v>0.06</v>
      </c>
      <c r="AA54" s="22" t="n">
        <v>5</v>
      </c>
      <c r="AB54" s="22" t="n">
        <v>1.3</v>
      </c>
      <c r="AC54" s="23" t="s">
        <v>193</v>
      </c>
      <c r="AD54" s="23" t="s">
        <v>196</v>
      </c>
      <c r="AE54" s="23" t="s">
        <v>66</v>
      </c>
      <c r="AF54" s="23" t="s">
        <v>69</v>
      </c>
      <c r="AG54" s="23"/>
      <c r="AH54" s="23"/>
      <c r="AI54" s="23"/>
      <c r="AJ54" s="13" t="n">
        <v>0</v>
      </c>
      <c r="AK54" s="13" t="n">
        <v>0</v>
      </c>
      <c r="AL54" s="13" t="n">
        <v>0</v>
      </c>
      <c r="AM54" s="13" t="n">
        <v>0</v>
      </c>
      <c r="AN54" s="13" t="n">
        <v>0</v>
      </c>
      <c r="AO54" s="13" t="n">
        <v>0</v>
      </c>
      <c r="AP54" s="13" t="n">
        <v>1</v>
      </c>
      <c r="AQ54" s="13" t="n">
        <v>0</v>
      </c>
      <c r="AR54" s="13" t="n">
        <v>0</v>
      </c>
      <c r="AS54" s="13" t="n">
        <v>0</v>
      </c>
      <c r="AT54" s="13" t="n">
        <v>0</v>
      </c>
      <c r="AU54" s="13" t="n">
        <v>0</v>
      </c>
      <c r="AV54" s="13" t="n">
        <v>0</v>
      </c>
      <c r="AW54" s="13" t="n">
        <v>0</v>
      </c>
      <c r="AX54" s="13" t="n">
        <v>0</v>
      </c>
      <c r="AY54" s="13" t="n">
        <v>1</v>
      </c>
      <c r="AZ54" s="13" t="n">
        <v>0</v>
      </c>
      <c r="BA54" s="23" t="str">
        <f aca="false">_xlfn.TEXTJOIN(", ",TRUE(),IF(AJ54=1,"glutine",IF(AJ54=2,"glutine (tracce)","")),IF(AK54=1,"latte",IF(AK54=2,"latte (tracce)","")),IF(AL54=1,"lattosio",IF(AL54=2,"lattosio (tracce)","")),IF(AM54=1,"uova",IF(AM54=2,"uova (tracce)","")),IF(AN54=1,"pesce",IF(AN54=2,"pesce (tracce)","")),IF(AO54=1,"crostacei",IF(AO54=2,"crostacei (tracce)","")),IF(AP54=1,"molluschi",IF(AP54=2,"molluschi (tracce)","")),IF(AQ54=1,"frutta a guscio",IF(AQ54=2,"frutta a guscio (tracce)","")),IF(AR54=1,"arachidi",IF(AR54=2,"arachidi (tracce)","")),IF(AS54=1,"soia",IF(AS54=2,"soia (tracce)","")),IF(AT54=1,"sesamo",IF(AT54=2,"sesamo (tracce)","")),IF(AU54=1,"sedano",IF(AU54=2,"sedano (tracce)","")),IF(AV54=1,"senape",IF(AV54=2,"senape (tracce)","")),IF(AW54=1,"solfiti",IF(AW54=2,"solfiti (tracce)","")),IF(AX54=1,"lupini",IF(AX54=2,"lupini (tracce)","")),IF(AY54=1,"nichel",IF(AY54=2,"nichel (tracce)","")),IF(AZ54=1,"FODMAP",IF(AZ54=2,"FODMAP (tracce)","")))</f>
        <v>molluschi, nichel</v>
      </c>
      <c r="BB54" s="23" t="n">
        <f aca="false">ROUND(4*C54+4*D54+9*E54+2*N(F54),0)</f>
        <v>87</v>
      </c>
      <c r="BC54" s="23" t="s">
        <v>70</v>
      </c>
      <c r="BD54" s="23"/>
    </row>
    <row r="55" customFormat="false" ht="15" hidden="false" customHeight="false" outlineLevel="0" collapsed="false">
      <c r="A55" s="19" t="s">
        <v>197</v>
      </c>
      <c r="B55" s="20" t="n">
        <v>82</v>
      </c>
      <c r="C55" s="21" t="n">
        <v>2.2</v>
      </c>
      <c r="D55" s="21" t="n">
        <v>14.9</v>
      </c>
      <c r="E55" s="21" t="n">
        <v>1</v>
      </c>
      <c r="F55" s="22" t="n">
        <v>0</v>
      </c>
      <c r="G55" s="22" t="n">
        <v>0</v>
      </c>
      <c r="H55" s="22" t="n">
        <v>0.23</v>
      </c>
      <c r="I55" s="22" t="n">
        <v>0.16</v>
      </c>
      <c r="J55" s="22" t="n">
        <v>0.24</v>
      </c>
      <c r="K55" s="22" t="n">
        <v>48</v>
      </c>
      <c r="L55" s="22" t="n">
        <v>230</v>
      </c>
      <c r="M55" s="22" t="n">
        <v>350</v>
      </c>
      <c r="N55" s="22" t="n">
        <v>53</v>
      </c>
      <c r="O55" s="22" t="n">
        <v>186</v>
      </c>
      <c r="P55" s="22" t="n">
        <v>30</v>
      </c>
      <c r="Q55" s="22" t="n">
        <v>5.3</v>
      </c>
      <c r="R55" s="22" t="n">
        <v>1.68</v>
      </c>
      <c r="S55" s="22" t="n">
        <v>45</v>
      </c>
      <c r="T55" s="22" t="n">
        <v>5</v>
      </c>
      <c r="U55" s="22" t="n">
        <v>0</v>
      </c>
      <c r="V55" s="22" t="n">
        <v>1.2</v>
      </c>
      <c r="W55" s="22" t="n">
        <v>0.03</v>
      </c>
      <c r="X55" s="22" t="n">
        <v>0.04</v>
      </c>
      <c r="Y55" s="22" t="n">
        <v>2.1</v>
      </c>
      <c r="Z55" s="22" t="n">
        <v>0.36</v>
      </c>
      <c r="AA55" s="22" t="n">
        <v>16</v>
      </c>
      <c r="AB55" s="22" t="n">
        <v>20</v>
      </c>
      <c r="AC55" s="23" t="s">
        <v>193</v>
      </c>
      <c r="AD55" s="23" t="s">
        <v>198</v>
      </c>
      <c r="AE55" s="23" t="s">
        <v>66</v>
      </c>
      <c r="AF55" s="23" t="s">
        <v>69</v>
      </c>
      <c r="AG55" s="23"/>
      <c r="AH55" s="23"/>
      <c r="AI55" s="23"/>
      <c r="AJ55" s="13" t="n">
        <v>0</v>
      </c>
      <c r="AK55" s="13" t="n">
        <v>0</v>
      </c>
      <c r="AL55" s="13" t="n">
        <v>0</v>
      </c>
      <c r="AM55" s="13" t="n">
        <v>0</v>
      </c>
      <c r="AN55" s="13" t="n">
        <v>0</v>
      </c>
      <c r="AO55" s="13" t="n">
        <v>0</v>
      </c>
      <c r="AP55" s="13" t="n">
        <v>1</v>
      </c>
      <c r="AQ55" s="13" t="n">
        <v>0</v>
      </c>
      <c r="AR55" s="13" t="n">
        <v>0</v>
      </c>
      <c r="AS55" s="13" t="n">
        <v>0</v>
      </c>
      <c r="AT55" s="13" t="n">
        <v>0</v>
      </c>
      <c r="AU55" s="13" t="n">
        <v>0</v>
      </c>
      <c r="AV55" s="13" t="n">
        <v>0</v>
      </c>
      <c r="AW55" s="13" t="n">
        <v>0</v>
      </c>
      <c r="AX55" s="13" t="n">
        <v>0</v>
      </c>
      <c r="AY55" s="13" t="n">
        <v>1</v>
      </c>
      <c r="AZ55" s="13" t="n">
        <v>0</v>
      </c>
      <c r="BA55" s="23" t="str">
        <f aca="false">_xlfn.TEXTJOIN(", ",TRUE(),IF(AJ55=1,"glutine",IF(AJ55=2,"glutine (tracce)","")),IF(AK55=1,"latte",IF(AK55=2,"latte (tracce)","")),IF(AL55=1,"lattosio",IF(AL55=2,"lattosio (tracce)","")),IF(AM55=1,"uova",IF(AM55=2,"uova (tracce)","")),IF(AN55=1,"pesce",IF(AN55=2,"pesce (tracce)","")),IF(AO55=1,"crostacei",IF(AO55=2,"crostacei (tracce)","")),IF(AP55=1,"molluschi",IF(AP55=2,"molluschi (tracce)","")),IF(AQ55=1,"frutta a guscio",IF(AQ55=2,"frutta a guscio (tracce)","")),IF(AR55=1,"arachidi",IF(AR55=2,"arachidi (tracce)","")),IF(AS55=1,"soia",IF(AS55=2,"soia (tracce)","")),IF(AT55=1,"sesamo",IF(AT55=2,"sesamo (tracce)","")),IF(AU55=1,"sedano",IF(AU55=2,"sedano (tracce)","")),IF(AV55=1,"senape",IF(AV55=2,"senape (tracce)","")),IF(AW55=1,"solfiti",IF(AW55=2,"solfiti (tracce)","")),IF(AX55=1,"lupini",IF(AX55=2,"lupini (tracce)","")),IF(AY55=1,"nichel",IF(AY55=2,"nichel (tracce)","")),IF(AZ55=1,"FODMAP",IF(AZ55=2,"FODMAP (tracce)","")))</f>
        <v>molluschi, nichel</v>
      </c>
      <c r="BB55" s="23" t="n">
        <f aca="false">ROUND(4*C55+4*D55+9*E55+2*N(F55),0)</f>
        <v>77</v>
      </c>
      <c r="BC55" s="23" t="s">
        <v>70</v>
      </c>
      <c r="BD55" s="23"/>
    </row>
    <row r="56" customFormat="false" ht="15" hidden="false" customHeight="false" outlineLevel="0" collapsed="false">
      <c r="A56" s="19" t="s">
        <v>199</v>
      </c>
      <c r="B56" s="20" t="n">
        <v>79</v>
      </c>
      <c r="C56" s="21" t="n">
        <v>0.8</v>
      </c>
      <c r="D56" s="21" t="n">
        <v>16.2</v>
      </c>
      <c r="E56" s="21" t="n">
        <v>0.7</v>
      </c>
      <c r="F56" s="22" t="n">
        <v>0</v>
      </c>
      <c r="G56" s="22" t="n">
        <v>0</v>
      </c>
      <c r="H56" s="22" t="n">
        <v>0.12</v>
      </c>
      <c r="I56" s="22" t="n">
        <v>0.08</v>
      </c>
      <c r="J56" s="22" t="n">
        <v>0.13</v>
      </c>
      <c r="K56" s="22" t="n">
        <v>112</v>
      </c>
      <c r="L56" s="22" t="n">
        <v>372</v>
      </c>
      <c r="M56" s="22" t="n">
        <v>354</v>
      </c>
      <c r="N56" s="22" t="n">
        <v>90</v>
      </c>
      <c r="O56" s="22" t="n">
        <v>387</v>
      </c>
      <c r="P56" s="22" t="n">
        <v>30</v>
      </c>
      <c r="Q56" s="22" t="n">
        <v>6</v>
      </c>
      <c r="R56" s="22" t="n">
        <v>1.73</v>
      </c>
      <c r="S56" s="22" t="n">
        <v>113</v>
      </c>
      <c r="T56" s="22" t="n">
        <v>5.3</v>
      </c>
      <c r="U56" s="22" t="n">
        <v>0</v>
      </c>
      <c r="V56" s="22" t="n">
        <v>1</v>
      </c>
      <c r="W56" s="22" t="n">
        <v>0.01</v>
      </c>
      <c r="X56" s="22" t="n">
        <v>0.91</v>
      </c>
      <c r="Y56" s="22" t="n">
        <v>1.2</v>
      </c>
      <c r="Z56" s="22" t="n">
        <v>0.15</v>
      </c>
      <c r="AA56" s="22" t="n">
        <v>16</v>
      </c>
      <c r="AB56" s="22" t="n">
        <v>3</v>
      </c>
      <c r="AC56" s="23" t="s">
        <v>193</v>
      </c>
      <c r="AD56" s="23" t="s">
        <v>200</v>
      </c>
      <c r="AE56" s="23" t="s">
        <v>66</v>
      </c>
      <c r="AF56" s="23" t="s">
        <v>69</v>
      </c>
      <c r="AG56" s="23"/>
      <c r="AH56" s="23"/>
      <c r="AI56" s="23"/>
      <c r="AJ56" s="13" t="n">
        <v>0</v>
      </c>
      <c r="AK56" s="13" t="n">
        <v>0</v>
      </c>
      <c r="AL56" s="13" t="n">
        <v>0</v>
      </c>
      <c r="AM56" s="13" t="n">
        <v>0</v>
      </c>
      <c r="AN56" s="13" t="n">
        <v>0</v>
      </c>
      <c r="AO56" s="13" t="n">
        <v>0</v>
      </c>
      <c r="AP56" s="13" t="n">
        <v>1</v>
      </c>
      <c r="AQ56" s="13" t="n">
        <v>0</v>
      </c>
      <c r="AR56" s="13" t="n">
        <v>0</v>
      </c>
      <c r="AS56" s="13" t="n">
        <v>0</v>
      </c>
      <c r="AT56" s="13" t="n">
        <v>0</v>
      </c>
      <c r="AU56" s="13" t="n">
        <v>0</v>
      </c>
      <c r="AV56" s="13" t="n">
        <v>0</v>
      </c>
      <c r="AW56" s="13" t="n">
        <v>0</v>
      </c>
      <c r="AX56" s="13" t="n">
        <v>0</v>
      </c>
      <c r="AY56" s="13" t="n">
        <v>1</v>
      </c>
      <c r="AZ56" s="13" t="n">
        <v>0</v>
      </c>
      <c r="BA56" s="23" t="str">
        <f aca="false">_xlfn.TEXTJOIN(", ",TRUE(),IF(AJ56=1,"glutine",IF(AJ56=2,"glutine (tracce)","")),IF(AK56=1,"latte",IF(AK56=2,"latte (tracce)","")),IF(AL56=1,"lattosio",IF(AL56=2,"lattosio (tracce)","")),IF(AM56=1,"uova",IF(AM56=2,"uova (tracce)","")),IF(AN56=1,"pesce",IF(AN56=2,"pesce (tracce)","")),IF(AO56=1,"crostacei",IF(AO56=2,"crostacei (tracce)","")),IF(AP56=1,"molluschi",IF(AP56=2,"molluschi (tracce)","")),IF(AQ56=1,"frutta a guscio",IF(AQ56=2,"frutta a guscio (tracce)","")),IF(AR56=1,"arachidi",IF(AR56=2,"arachidi (tracce)","")),IF(AS56=1,"soia",IF(AS56=2,"soia (tracce)","")),IF(AT56=1,"sesamo",IF(AT56=2,"sesamo (tracce)","")),IF(AU56=1,"sedano",IF(AU56=2,"sedano (tracce)","")),IF(AV56=1,"senape",IF(AV56=2,"senape (tracce)","")),IF(AW56=1,"solfiti",IF(AW56=2,"solfiti (tracce)","")),IF(AX56=1,"lupini",IF(AX56=2,"lupini (tracce)","")),IF(AY56=1,"nichel",IF(AY56=2,"nichel (tracce)","")),IF(AZ56=1,"FODMAP",IF(AZ56=2,"FODMAP (tracce)","")))</f>
        <v>molluschi, nichel</v>
      </c>
      <c r="BB56" s="23" t="n">
        <f aca="false">ROUND(4*C56+4*D56+9*E56+2*N(F56),0)</f>
        <v>74</v>
      </c>
      <c r="BC56" s="23" t="s">
        <v>70</v>
      </c>
      <c r="BD56" s="23"/>
    </row>
    <row r="57" customFormat="false" ht="15" hidden="false" customHeight="false" outlineLevel="0" collapsed="false">
      <c r="A57" s="19" t="s">
        <v>201</v>
      </c>
      <c r="B57" s="20" t="n">
        <v>86</v>
      </c>
      <c r="C57" s="21" t="n">
        <v>3.7</v>
      </c>
      <c r="D57" s="21" t="n">
        <v>11.9</v>
      </c>
      <c r="E57" s="21" t="n">
        <v>2.2</v>
      </c>
      <c r="F57" s="22" t="n">
        <v>0</v>
      </c>
      <c r="G57" s="22" t="n">
        <v>0</v>
      </c>
      <c r="H57" s="22" t="n">
        <v>0.43</v>
      </c>
      <c r="I57" s="22" t="n">
        <v>0.5</v>
      </c>
      <c r="J57" s="22" t="n">
        <v>0.6</v>
      </c>
      <c r="K57" s="22" t="n">
        <v>28</v>
      </c>
      <c r="L57" s="22" t="n">
        <v>286</v>
      </c>
      <c r="M57" s="22" t="n">
        <v>320</v>
      </c>
      <c r="N57" s="22" t="n">
        <v>26</v>
      </c>
      <c r="O57" s="22" t="n">
        <v>197</v>
      </c>
      <c r="P57" s="22" t="n">
        <v>34</v>
      </c>
      <c r="Q57" s="22" t="n">
        <v>3.95</v>
      </c>
      <c r="R57" s="22" t="n">
        <v>1.6</v>
      </c>
      <c r="S57" s="22" t="n">
        <v>48</v>
      </c>
      <c r="T57" s="22" t="n">
        <v>8</v>
      </c>
      <c r="U57" s="22" t="n">
        <v>0</v>
      </c>
      <c r="V57" s="22" t="n">
        <v>0.55</v>
      </c>
      <c r="W57" s="22" t="n">
        <v>0.16</v>
      </c>
      <c r="X57" s="22" t="n">
        <v>0.21</v>
      </c>
      <c r="Y57" s="22" t="n">
        <v>1.6</v>
      </c>
      <c r="Z57" s="22" t="n">
        <v>0.05</v>
      </c>
      <c r="AA57" s="22" t="n">
        <v>42</v>
      </c>
      <c r="AB57" s="22" t="n">
        <v>12</v>
      </c>
      <c r="AC57" s="23" t="s">
        <v>193</v>
      </c>
      <c r="AD57" s="23" t="s">
        <v>202</v>
      </c>
      <c r="AE57" s="23" t="s">
        <v>66</v>
      </c>
      <c r="AF57" s="23" t="s">
        <v>69</v>
      </c>
      <c r="AG57" s="23"/>
      <c r="AH57" s="23"/>
      <c r="AI57" s="23"/>
      <c r="AJ57" s="13" t="n">
        <v>0</v>
      </c>
      <c r="AK57" s="13" t="n">
        <v>0</v>
      </c>
      <c r="AL57" s="13" t="n">
        <v>0</v>
      </c>
      <c r="AM57" s="13" t="n">
        <v>0</v>
      </c>
      <c r="AN57" s="13" t="n">
        <v>0</v>
      </c>
      <c r="AO57" s="13" t="n">
        <v>0</v>
      </c>
      <c r="AP57" s="13" t="n">
        <v>1</v>
      </c>
      <c r="AQ57" s="13" t="n">
        <v>0</v>
      </c>
      <c r="AR57" s="13" t="n">
        <v>0</v>
      </c>
      <c r="AS57" s="13" t="n">
        <v>0</v>
      </c>
      <c r="AT57" s="13" t="n">
        <v>0</v>
      </c>
      <c r="AU57" s="13" t="n">
        <v>0</v>
      </c>
      <c r="AV57" s="13" t="n">
        <v>0</v>
      </c>
      <c r="AW57" s="13" t="n">
        <v>0</v>
      </c>
      <c r="AX57" s="13" t="n">
        <v>0</v>
      </c>
      <c r="AY57" s="13" t="n">
        <v>1</v>
      </c>
      <c r="AZ57" s="13" t="n">
        <v>0</v>
      </c>
      <c r="BA57" s="23" t="str">
        <f aca="false">_xlfn.TEXTJOIN(", ",TRUE(),IF(AJ57=1,"glutine",IF(AJ57=2,"glutine (tracce)","")),IF(AK57=1,"latte",IF(AK57=2,"latte (tracce)","")),IF(AL57=1,"lattosio",IF(AL57=2,"lattosio (tracce)","")),IF(AM57=1,"uova",IF(AM57=2,"uova (tracce)","")),IF(AN57=1,"pesce",IF(AN57=2,"pesce (tracce)","")),IF(AO57=1,"crostacei",IF(AO57=2,"crostacei (tracce)","")),IF(AP57=1,"molluschi",IF(AP57=2,"molluschi (tracce)","")),IF(AQ57=1,"frutta a guscio",IF(AQ57=2,"frutta a guscio (tracce)","")),IF(AR57=1,"arachidi",IF(AR57=2,"arachidi (tracce)","")),IF(AS57=1,"soia",IF(AS57=2,"soia (tracce)","")),IF(AT57=1,"sesamo",IF(AT57=2,"sesamo (tracce)","")),IF(AU57=1,"sedano",IF(AU57=2,"sedano (tracce)","")),IF(AV57=1,"senape",IF(AV57=2,"senape (tracce)","")),IF(AW57=1,"solfiti",IF(AW57=2,"solfiti (tracce)","")),IF(AX57=1,"lupini",IF(AX57=2,"lupini (tracce)","")),IF(AY57=1,"nichel",IF(AY57=2,"nichel (tracce)","")),IF(AZ57=1,"FODMAP",IF(AZ57=2,"FODMAP (tracce)","")))</f>
        <v>molluschi, nichel</v>
      </c>
      <c r="BB57" s="23" t="n">
        <f aca="false">ROUND(4*C57+4*D57+9*E57+2*N(F57),0)</f>
        <v>82</v>
      </c>
      <c r="BC57" s="23" t="s">
        <v>70</v>
      </c>
      <c r="BD57" s="23"/>
    </row>
    <row r="58" customFormat="false" ht="15" hidden="false" customHeight="false" outlineLevel="0" collapsed="false">
      <c r="A58" s="19" t="s">
        <v>203</v>
      </c>
      <c r="B58" s="20" t="n">
        <v>74</v>
      </c>
      <c r="C58" s="21" t="n">
        <v>2.6</v>
      </c>
      <c r="D58" s="21" t="n">
        <v>12.8</v>
      </c>
      <c r="E58" s="21" t="n">
        <v>1</v>
      </c>
      <c r="F58" s="22" t="n">
        <v>0</v>
      </c>
      <c r="G58" s="22" t="n">
        <v>0</v>
      </c>
      <c r="H58" s="22" t="n">
        <v>0.1</v>
      </c>
      <c r="I58" s="22" t="n">
        <v>0.08</v>
      </c>
      <c r="J58" s="22" t="n">
        <v>0.28</v>
      </c>
      <c r="K58" s="22" t="n">
        <v>34</v>
      </c>
      <c r="L58" s="22" t="n">
        <v>56</v>
      </c>
      <c r="M58" s="22" t="n">
        <v>314</v>
      </c>
      <c r="N58" s="22" t="n">
        <v>46</v>
      </c>
      <c r="O58" s="22" t="n">
        <v>169</v>
      </c>
      <c r="P58" s="22" t="n">
        <v>9</v>
      </c>
      <c r="Q58" s="22" t="n">
        <v>13.98</v>
      </c>
      <c r="R58" s="22" t="n">
        <v>1.37</v>
      </c>
      <c r="S58" s="22" t="n">
        <v>90</v>
      </c>
      <c r="T58" s="22" t="n">
        <v>13</v>
      </c>
      <c r="U58" s="22" t="n">
        <v>0</v>
      </c>
      <c r="V58" s="22" t="n">
        <v>0.3</v>
      </c>
      <c r="W58" s="22" t="n">
        <v>0.08</v>
      </c>
      <c r="X58" s="22" t="n">
        <v>0.21</v>
      </c>
      <c r="Y58" s="22" t="n">
        <v>1.77</v>
      </c>
      <c r="Z58" s="22" t="n">
        <v>0.06</v>
      </c>
      <c r="AA58" s="22" t="n">
        <v>16</v>
      </c>
      <c r="AB58" s="22" t="n">
        <v>49.4</v>
      </c>
      <c r="AC58" s="23" t="s">
        <v>193</v>
      </c>
      <c r="AD58" s="23" t="s">
        <v>204</v>
      </c>
      <c r="AE58" s="23" t="s">
        <v>66</v>
      </c>
      <c r="AF58" s="23" t="s">
        <v>69</v>
      </c>
      <c r="AG58" s="23"/>
      <c r="AH58" s="23"/>
      <c r="AI58" s="23"/>
      <c r="AJ58" s="13" t="n">
        <v>0</v>
      </c>
      <c r="AK58" s="13" t="n">
        <v>0</v>
      </c>
      <c r="AL58" s="13" t="n">
        <v>0</v>
      </c>
      <c r="AM58" s="13" t="n">
        <v>0</v>
      </c>
      <c r="AN58" s="13" t="n">
        <v>0</v>
      </c>
      <c r="AO58" s="13" t="n">
        <v>0</v>
      </c>
      <c r="AP58" s="13" t="n">
        <v>1</v>
      </c>
      <c r="AQ58" s="13" t="n">
        <v>0</v>
      </c>
      <c r="AR58" s="13" t="n">
        <v>0</v>
      </c>
      <c r="AS58" s="13" t="n">
        <v>0</v>
      </c>
      <c r="AT58" s="13" t="n">
        <v>0</v>
      </c>
      <c r="AU58" s="13" t="n">
        <v>0</v>
      </c>
      <c r="AV58" s="13" t="n">
        <v>0</v>
      </c>
      <c r="AW58" s="13" t="n">
        <v>0</v>
      </c>
      <c r="AX58" s="13" t="n">
        <v>0</v>
      </c>
      <c r="AY58" s="13" t="n">
        <v>1</v>
      </c>
      <c r="AZ58" s="13" t="n">
        <v>0</v>
      </c>
      <c r="BA58" s="23" t="str">
        <f aca="false">_xlfn.TEXTJOIN(", ",TRUE(),IF(AJ58=1,"glutine",IF(AJ58=2,"glutine (tracce)","")),IF(AK58=1,"latte",IF(AK58=2,"latte (tracce)","")),IF(AL58=1,"lattosio",IF(AL58=2,"lattosio (tracce)","")),IF(AM58=1,"uova",IF(AM58=2,"uova (tracce)","")),IF(AN58=1,"pesce",IF(AN58=2,"pesce (tracce)","")),IF(AO58=1,"crostacei",IF(AO58=2,"crostacei (tracce)","")),IF(AP58=1,"molluschi",IF(AP58=2,"molluschi (tracce)","")),IF(AQ58=1,"frutta a guscio",IF(AQ58=2,"frutta a guscio (tracce)","")),IF(AR58=1,"arachidi",IF(AR58=2,"arachidi (tracce)","")),IF(AS58=1,"soia",IF(AS58=2,"soia (tracce)","")),IF(AT58=1,"sesamo",IF(AT58=2,"sesamo (tracce)","")),IF(AU58=1,"sedano",IF(AU58=2,"sedano (tracce)","")),IF(AV58=1,"senape",IF(AV58=2,"senape (tracce)","")),IF(AW58=1,"solfiti",IF(AW58=2,"solfiti (tracce)","")),IF(AX58=1,"lupini",IF(AX58=2,"lupini (tracce)","")),IF(AY58=1,"nichel",IF(AY58=2,"nichel (tracce)","")),IF(AZ58=1,"FODMAP",IF(AZ58=2,"FODMAP (tracce)","")))</f>
        <v>molluschi, nichel</v>
      </c>
      <c r="BB58" s="23" t="n">
        <f aca="false">ROUND(4*C58+4*D58+9*E58+2*N(F58),0)</f>
        <v>71</v>
      </c>
      <c r="BC58" s="23" t="s">
        <v>70</v>
      </c>
      <c r="BD58" s="23"/>
    </row>
    <row r="59" customFormat="false" ht="15" hidden="false" customHeight="false" outlineLevel="0" collapsed="false">
      <c r="A59" s="2" t="s">
        <v>205</v>
      </c>
      <c r="B59" s="3" t="n">
        <v>130</v>
      </c>
      <c r="C59" s="4" t="n">
        <v>1.2</v>
      </c>
      <c r="D59" s="4" t="n">
        <v>13.5</v>
      </c>
      <c r="E59" s="4" t="n">
        <v>7.8</v>
      </c>
      <c r="F59" s="5" t="n">
        <v>1</v>
      </c>
      <c r="G59" s="5" t="n">
        <v>0.6</v>
      </c>
      <c r="H59" s="5" t="n">
        <v>1.1</v>
      </c>
      <c r="I59" s="5" t="n">
        <v>1.7</v>
      </c>
      <c r="J59" s="5" t="n">
        <v>4.4</v>
      </c>
      <c r="K59" s="5" t="n">
        <v>0</v>
      </c>
      <c r="L59" s="5" t="n">
        <v>10</v>
      </c>
      <c r="M59" s="5" t="n">
        <v>150</v>
      </c>
      <c r="N59" s="5" t="n">
        <v>350</v>
      </c>
      <c r="O59" s="5" t="n">
        <v>150</v>
      </c>
      <c r="P59" s="5" t="n">
        <v>50</v>
      </c>
      <c r="Q59" s="5" t="n">
        <v>2</v>
      </c>
      <c r="R59" s="5" t="n">
        <v>1.2</v>
      </c>
      <c r="S59" s="5" t="n">
        <v>0</v>
      </c>
      <c r="T59" s="5" t="n">
        <v>0</v>
      </c>
      <c r="U59" s="5" t="n">
        <v>0</v>
      </c>
      <c r="V59" s="5" t="n">
        <v>0.01</v>
      </c>
      <c r="W59" s="5" t="n">
        <v>0.1</v>
      </c>
      <c r="X59" s="5" t="n">
        <v>0.08</v>
      </c>
      <c r="Y59" s="5" t="n">
        <v>0.2</v>
      </c>
      <c r="Z59" s="5" t="n">
        <v>0.05</v>
      </c>
      <c r="AA59" s="5" t="n">
        <v>20</v>
      </c>
      <c r="AB59" s="5" t="n">
        <v>0</v>
      </c>
      <c r="AC59" s="6" t="s">
        <v>206</v>
      </c>
      <c r="AD59" s="6" t="s">
        <v>207</v>
      </c>
      <c r="AE59" s="6" t="s">
        <v>66</v>
      </c>
      <c r="AF59" s="6" t="s">
        <v>69</v>
      </c>
      <c r="AG59" s="6"/>
      <c r="AH59" s="6"/>
      <c r="AI59" s="6"/>
      <c r="AJ59" s="7" t="n">
        <v>0</v>
      </c>
      <c r="AK59" s="7" t="n">
        <v>0</v>
      </c>
      <c r="AL59" s="7" t="n">
        <v>0</v>
      </c>
      <c r="AM59" s="7" t="n">
        <v>0</v>
      </c>
      <c r="AN59" s="7" t="n">
        <v>0</v>
      </c>
      <c r="AO59" s="7" t="n">
        <v>0</v>
      </c>
      <c r="AP59" s="7" t="n">
        <v>0</v>
      </c>
      <c r="AQ59" s="7" t="n">
        <v>0</v>
      </c>
      <c r="AR59" s="7" t="n">
        <v>0</v>
      </c>
      <c r="AS59" s="7" t="n">
        <v>1</v>
      </c>
      <c r="AT59" s="7" t="n">
        <v>0</v>
      </c>
      <c r="AU59" s="7" t="n">
        <v>0</v>
      </c>
      <c r="AV59" s="7" t="n">
        <v>0</v>
      </c>
      <c r="AW59" s="7" t="n">
        <v>0</v>
      </c>
      <c r="AX59" s="7" t="n">
        <v>0</v>
      </c>
      <c r="AY59" s="7" t="n">
        <v>1</v>
      </c>
      <c r="AZ59" s="7" t="n">
        <v>0</v>
      </c>
      <c r="BA59" s="6" t="str">
        <f aca="false">_xlfn.TEXTJOIN(", ",TRUE(),IF(AJ59=1,"glutine",IF(AJ59=2,"glutine (tracce)","")),IF(AK59=1,"latte",IF(AK59=2,"latte (tracce)","")),IF(AL59=1,"lattosio",IF(AL59=2,"lattosio (tracce)","")),IF(AM59=1,"uova",IF(AM59=2,"uova (tracce)","")),IF(AN59=1,"pesce",IF(AN59=2,"pesce (tracce)","")),IF(AO59=1,"crostacei",IF(AO59=2,"crostacei (tracce)","")),IF(AP59=1,"molluschi",IF(AP59=2,"molluschi (tracce)","")),IF(AQ59=1,"frutta a guscio",IF(AQ59=2,"frutta a guscio (tracce)","")),IF(AR59=1,"arachidi",IF(AR59=2,"arachidi (tracce)","")),IF(AS59=1,"soia",IF(AS59=2,"soia (tracce)","")),IF(AT59=1,"sesamo",IF(AT59=2,"sesamo (tracce)","")),IF(AU59=1,"sedano",IF(AU59=2,"sedano (tracce)","")),IF(AV59=1,"senape",IF(AV59=2,"senape (tracce)","")),IF(AW59=1,"solfiti",IF(AW59=2,"solfiti (tracce)","")),IF(AX59=1,"lupini",IF(AX59=2,"lupini (tracce)","")),IF(AY59=1,"nichel",IF(AY59=2,"nichel (tracce)","")),IF(AZ59=1,"FODMAP",IF(AZ59=2,"FODMAP (tracce)","")))</f>
        <v>soia, nichel</v>
      </c>
      <c r="BB59" s="6" t="n">
        <f aca="false">ROUND(4*C59+4*D59+9*E59+2*N(F59),0)</f>
        <v>131</v>
      </c>
      <c r="BC59" s="6" t="s">
        <v>171</v>
      </c>
      <c r="BD59" s="6" t="s">
        <v>208</v>
      </c>
    </row>
    <row r="60" customFormat="false" ht="15" hidden="false" customHeight="false" outlineLevel="0" collapsed="false">
      <c r="A60" s="8" t="s">
        <v>209</v>
      </c>
      <c r="B60" s="9" t="n">
        <v>192</v>
      </c>
      <c r="C60" s="10" t="n">
        <v>7.6</v>
      </c>
      <c r="D60" s="10" t="n">
        <v>20.3</v>
      </c>
      <c r="E60" s="10" t="n">
        <v>10.8</v>
      </c>
      <c r="F60" s="11" t="n">
        <v>1.8</v>
      </c>
      <c r="G60" s="11"/>
      <c r="H60" s="11" t="n">
        <v>2.2</v>
      </c>
      <c r="I60" s="11" t="n">
        <v>3</v>
      </c>
      <c r="J60" s="11" t="n">
        <v>3.8</v>
      </c>
      <c r="K60" s="11" t="n">
        <v>0</v>
      </c>
      <c r="L60" s="11" t="n">
        <v>9</v>
      </c>
      <c r="M60" s="11" t="n">
        <v>412</v>
      </c>
      <c r="N60" s="11" t="n">
        <v>111</v>
      </c>
      <c r="O60" s="11" t="n">
        <v>266</v>
      </c>
      <c r="P60" s="11" t="n">
        <v>81</v>
      </c>
      <c r="Q60" s="11" t="n">
        <v>2.7</v>
      </c>
      <c r="R60" s="11" t="n">
        <v>1.14</v>
      </c>
      <c r="S60" s="11" t="n">
        <v>0</v>
      </c>
      <c r="T60" s="11" t="n">
        <v>0</v>
      </c>
      <c r="U60" s="11" t="n">
        <v>0</v>
      </c>
      <c r="V60" s="11"/>
      <c r="W60" s="11" t="n">
        <v>0.08</v>
      </c>
      <c r="X60" s="11" t="n">
        <v>0.36</v>
      </c>
      <c r="Y60" s="11" t="n">
        <v>2.64</v>
      </c>
      <c r="Z60" s="11" t="n">
        <v>0.22</v>
      </c>
      <c r="AA60" s="11" t="n">
        <v>24</v>
      </c>
      <c r="AB60" s="11" t="n">
        <v>0.08</v>
      </c>
      <c r="AC60" s="12" t="s">
        <v>206</v>
      </c>
      <c r="AD60" s="12" t="s">
        <v>210</v>
      </c>
      <c r="AE60" s="12" t="s">
        <v>66</v>
      </c>
      <c r="AF60" s="12" t="s">
        <v>69</v>
      </c>
      <c r="AG60" s="12"/>
      <c r="AH60" s="12"/>
      <c r="AI60" s="12"/>
      <c r="AJ60" s="13" t="n">
        <v>0</v>
      </c>
      <c r="AK60" s="13" t="n">
        <v>0</v>
      </c>
      <c r="AL60" s="13" t="n">
        <v>0</v>
      </c>
      <c r="AM60" s="13" t="n">
        <v>0</v>
      </c>
      <c r="AN60" s="13" t="n">
        <v>0</v>
      </c>
      <c r="AO60" s="13" t="n">
        <v>0</v>
      </c>
      <c r="AP60" s="13" t="n">
        <v>0</v>
      </c>
      <c r="AQ60" s="13" t="n">
        <v>0</v>
      </c>
      <c r="AR60" s="13" t="n">
        <v>0</v>
      </c>
      <c r="AS60" s="13" t="n">
        <v>1</v>
      </c>
      <c r="AT60" s="13" t="n">
        <v>0</v>
      </c>
      <c r="AU60" s="13" t="n">
        <v>0</v>
      </c>
      <c r="AV60" s="13" t="n">
        <v>0</v>
      </c>
      <c r="AW60" s="13" t="n">
        <v>0</v>
      </c>
      <c r="AX60" s="13" t="n">
        <v>0</v>
      </c>
      <c r="AY60" s="13" t="n">
        <v>1</v>
      </c>
      <c r="AZ60" s="13" t="n">
        <v>0</v>
      </c>
      <c r="BA60" s="12" t="str">
        <f aca="false">_xlfn.TEXTJOIN(", ",TRUE(),IF(AJ60=1,"glutine",IF(AJ60=2,"glutine (tracce)","")),IF(AK60=1,"latte",IF(AK60=2,"latte (tracce)","")),IF(AL60=1,"lattosio",IF(AL60=2,"lattosio (tracce)","")),IF(AM60=1,"uova",IF(AM60=2,"uova (tracce)","")),IF(AN60=1,"pesce",IF(AN60=2,"pesce (tracce)","")),IF(AO60=1,"crostacei",IF(AO60=2,"crostacei (tracce)","")),IF(AP60=1,"molluschi",IF(AP60=2,"molluschi (tracce)","")),IF(AQ60=1,"frutta a guscio",IF(AQ60=2,"frutta a guscio (tracce)","")),IF(AR60=1,"arachidi",IF(AR60=2,"arachidi (tracce)","")),IF(AS60=1,"soia",IF(AS60=2,"soia (tracce)","")),IF(AT60=1,"sesamo",IF(AT60=2,"sesamo (tracce)","")),IF(AU60=1,"sedano",IF(AU60=2,"sedano (tracce)","")),IF(AV60=1,"senape",IF(AV60=2,"senape (tracce)","")),IF(AW60=1,"solfiti",IF(AW60=2,"solfiti (tracce)","")),IF(AX60=1,"lupini",IF(AX60=2,"lupini (tracce)","")),IF(AY60=1,"nichel",IF(AY60=2,"nichel (tracce)","")),IF(AZ60=1,"FODMAP",IF(AZ60=2,"FODMAP (tracce)","")))</f>
        <v>soia, nichel</v>
      </c>
      <c r="BB60" s="12" t="n">
        <f aca="false">ROUND(4*C60+4*D60+9*E60+2*N(F60),0)</f>
        <v>212</v>
      </c>
      <c r="BC60" s="12" t="s">
        <v>70</v>
      </c>
      <c r="BD60" s="12"/>
    </row>
    <row r="61" customFormat="false" ht="15" hidden="false" customHeight="false" outlineLevel="0" collapsed="false">
      <c r="A61" s="8" t="s">
        <v>211</v>
      </c>
      <c r="B61" s="9" t="n">
        <v>120</v>
      </c>
      <c r="C61" s="10" t="n">
        <v>5</v>
      </c>
      <c r="D61" s="10" t="n">
        <v>22</v>
      </c>
      <c r="E61" s="10" t="n">
        <v>2</v>
      </c>
      <c r="F61" s="11" t="n">
        <v>0.6</v>
      </c>
      <c r="G61" s="11" t="n">
        <v>0.5</v>
      </c>
      <c r="H61" s="11" t="n">
        <v>0.3</v>
      </c>
      <c r="I61" s="11"/>
      <c r="J61" s="11"/>
      <c r="K61" s="11" t="n">
        <v>0</v>
      </c>
      <c r="L61" s="11" t="n">
        <v>500</v>
      </c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2" t="s">
        <v>206</v>
      </c>
      <c r="AD61" s="12" t="s">
        <v>212</v>
      </c>
      <c r="AE61" s="12" t="s">
        <v>66</v>
      </c>
      <c r="AF61" s="12" t="s">
        <v>84</v>
      </c>
      <c r="AG61" s="12"/>
      <c r="AH61" s="12"/>
      <c r="AI61" s="12"/>
      <c r="AJ61" s="13" t="n">
        <v>1</v>
      </c>
      <c r="AK61" s="13" t="n">
        <v>0</v>
      </c>
      <c r="AL61" s="13" t="n">
        <v>0</v>
      </c>
      <c r="AM61" s="13" t="n">
        <v>0</v>
      </c>
      <c r="AN61" s="13" t="n">
        <v>0</v>
      </c>
      <c r="AO61" s="13" t="n">
        <v>0</v>
      </c>
      <c r="AP61" s="13" t="n">
        <v>0</v>
      </c>
      <c r="AQ61" s="13" t="n">
        <v>0</v>
      </c>
      <c r="AR61" s="13" t="n">
        <v>0</v>
      </c>
      <c r="AS61" s="13" t="n">
        <v>2</v>
      </c>
      <c r="AT61" s="13" t="n">
        <v>0</v>
      </c>
      <c r="AU61" s="13" t="n">
        <v>0</v>
      </c>
      <c r="AV61" s="13" t="n">
        <v>0</v>
      </c>
      <c r="AW61" s="13" t="n">
        <v>0</v>
      </c>
      <c r="AX61" s="13" t="n">
        <v>0</v>
      </c>
      <c r="AY61" s="13" t="n">
        <v>0</v>
      </c>
      <c r="AZ61" s="13" t="n">
        <v>0</v>
      </c>
      <c r="BA61" s="12" t="str">
        <f aca="false">_xlfn.TEXTJOIN(", ",TRUE(),IF(AJ61=1,"glutine",IF(AJ61=2,"glutine (tracce)","")),IF(AK61=1,"latte",IF(AK61=2,"latte (tracce)","")),IF(AL61=1,"lattosio",IF(AL61=2,"lattosio (tracce)","")),IF(AM61=1,"uova",IF(AM61=2,"uova (tracce)","")),IF(AN61=1,"pesce",IF(AN61=2,"pesce (tracce)","")),IF(AO61=1,"crostacei",IF(AO61=2,"crostacei (tracce)","")),IF(AP61=1,"molluschi",IF(AP61=2,"molluschi (tracce)","")),IF(AQ61=1,"frutta a guscio",IF(AQ61=2,"frutta a guscio (tracce)","")),IF(AR61=1,"arachidi",IF(AR61=2,"arachidi (tracce)","")),IF(AS61=1,"soia",IF(AS61=2,"soia (tracce)","")),IF(AT61=1,"sesamo",IF(AT61=2,"sesamo (tracce)","")),IF(AU61=1,"sedano",IF(AU61=2,"sedano (tracce)","")),IF(AV61=1,"senape",IF(AV61=2,"senape (tracce)","")),IF(AW61=1,"solfiti",IF(AW61=2,"solfiti (tracce)","")),IF(AX61=1,"lupini",IF(AX61=2,"lupini (tracce)","")),IF(AY61=1,"nichel",IF(AY61=2,"nichel (tracce)","")),IF(AZ61=1,"FODMAP",IF(AZ61=2,"FODMAP (tracce)","")))</f>
        <v>glutine, soia (tracce)</v>
      </c>
      <c r="BB61" s="12" t="n">
        <f aca="false">ROUND(4*C61+4*D61+9*E61+2*N(F61),0)</f>
        <v>127</v>
      </c>
      <c r="BC61" s="12" t="s">
        <v>78</v>
      </c>
      <c r="BD61" s="12"/>
    </row>
    <row r="62" customFormat="false" ht="15" hidden="false" customHeight="false" outlineLevel="0" collapsed="false">
      <c r="A62" s="8" t="s">
        <v>213</v>
      </c>
      <c r="B62" s="9" t="n">
        <v>446</v>
      </c>
      <c r="C62" s="10" t="n">
        <v>20.9</v>
      </c>
      <c r="D62" s="10" t="n">
        <v>36.5</v>
      </c>
      <c r="E62" s="10" t="n">
        <v>19.9</v>
      </c>
      <c r="F62" s="11" t="n">
        <v>9.3</v>
      </c>
      <c r="G62" s="11" t="n">
        <v>7.3</v>
      </c>
      <c r="H62" s="11" t="n">
        <v>2.88</v>
      </c>
      <c r="I62" s="11" t="n">
        <v>4.4</v>
      </c>
      <c r="J62" s="11" t="n">
        <v>11.3</v>
      </c>
      <c r="K62" s="11" t="n">
        <v>0</v>
      </c>
      <c r="L62" s="11" t="n">
        <v>2</v>
      </c>
      <c r="M62" s="11" t="n">
        <v>1797</v>
      </c>
      <c r="N62" s="11" t="n">
        <v>277</v>
      </c>
      <c r="O62" s="11" t="n">
        <v>704</v>
      </c>
      <c r="P62" s="11" t="n">
        <v>280</v>
      </c>
      <c r="Q62" s="11" t="n">
        <v>15.7</v>
      </c>
      <c r="R62" s="11" t="n">
        <v>4.89</v>
      </c>
      <c r="S62" s="11" t="n">
        <v>1</v>
      </c>
      <c r="T62" s="11" t="n">
        <v>6</v>
      </c>
      <c r="U62" s="11" t="n">
        <v>0</v>
      </c>
      <c r="V62" s="11" t="n">
        <v>0.85</v>
      </c>
      <c r="W62" s="11" t="n">
        <v>0.87</v>
      </c>
      <c r="X62" s="11" t="n">
        <v>0.87</v>
      </c>
      <c r="Y62" s="11" t="n">
        <v>1.62</v>
      </c>
      <c r="Z62" s="11" t="n">
        <v>0.38</v>
      </c>
      <c r="AA62" s="11" t="n">
        <v>375</v>
      </c>
      <c r="AB62" s="11" t="n">
        <v>0</v>
      </c>
      <c r="AC62" s="12" t="s">
        <v>206</v>
      </c>
      <c r="AD62" s="12" t="s">
        <v>214</v>
      </c>
      <c r="AE62" s="12" t="s">
        <v>66</v>
      </c>
      <c r="AF62" s="12" t="s">
        <v>215</v>
      </c>
      <c r="AG62" s="12"/>
      <c r="AH62" s="12"/>
      <c r="AI62" s="12"/>
      <c r="AJ62" s="13" t="n">
        <v>0</v>
      </c>
      <c r="AK62" s="13" t="n">
        <v>0</v>
      </c>
      <c r="AL62" s="13" t="n">
        <v>0</v>
      </c>
      <c r="AM62" s="13" t="n">
        <v>0</v>
      </c>
      <c r="AN62" s="13" t="n">
        <v>0</v>
      </c>
      <c r="AO62" s="13" t="n">
        <v>0</v>
      </c>
      <c r="AP62" s="13" t="n">
        <v>0</v>
      </c>
      <c r="AQ62" s="13" t="n">
        <v>0</v>
      </c>
      <c r="AR62" s="13" t="n">
        <v>0</v>
      </c>
      <c r="AS62" s="13" t="n">
        <v>1</v>
      </c>
      <c r="AT62" s="13" t="n">
        <v>0</v>
      </c>
      <c r="AU62" s="13" t="n">
        <v>0</v>
      </c>
      <c r="AV62" s="13" t="n">
        <v>0</v>
      </c>
      <c r="AW62" s="13" t="n">
        <v>0</v>
      </c>
      <c r="AX62" s="13" t="n">
        <v>0</v>
      </c>
      <c r="AY62" s="13" t="n">
        <v>1</v>
      </c>
      <c r="AZ62" s="13" t="n">
        <v>1</v>
      </c>
      <c r="BA62" s="12" t="str">
        <f aca="false">_xlfn.TEXTJOIN(", ",TRUE(),IF(AJ62=1,"glutine",IF(AJ62=2,"glutine (tracce)","")),IF(AK62=1,"latte",IF(AK62=2,"latte (tracce)","")),IF(AL62=1,"lattosio",IF(AL62=2,"lattosio (tracce)","")),IF(AM62=1,"uova",IF(AM62=2,"uova (tracce)","")),IF(AN62=1,"pesce",IF(AN62=2,"pesce (tracce)","")),IF(AO62=1,"crostacei",IF(AO62=2,"crostacei (tracce)","")),IF(AP62=1,"molluschi",IF(AP62=2,"molluschi (tracce)","")),IF(AQ62=1,"frutta a guscio",IF(AQ62=2,"frutta a guscio (tracce)","")),IF(AR62=1,"arachidi",IF(AR62=2,"arachidi (tracce)","")),IF(AS62=1,"soia",IF(AS62=2,"soia (tracce)","")),IF(AT62=1,"sesamo",IF(AT62=2,"sesamo (tracce)","")),IF(AU62=1,"sedano",IF(AU62=2,"sedano (tracce)","")),IF(AV62=1,"senape",IF(AV62=2,"senape (tracce)","")),IF(AW62=1,"solfiti",IF(AW62=2,"solfiti (tracce)","")),IF(AX62=1,"lupini",IF(AX62=2,"lupini (tracce)","")),IF(AY62=1,"nichel",IF(AY62=2,"nichel (tracce)","")),IF(AZ62=1,"FODMAP",IF(AZ62=2,"FODMAP (tracce)","")))</f>
        <v>soia, nichel, FODMAP</v>
      </c>
      <c r="BB62" s="12" t="n">
        <f aca="false">ROUND(4*C62+4*D62+9*E62+2*N(F62),0)</f>
        <v>427</v>
      </c>
      <c r="BC62" s="12" t="s">
        <v>70</v>
      </c>
      <c r="BD62" s="12"/>
    </row>
    <row r="63" customFormat="false" ht="15" hidden="false" customHeight="false" outlineLevel="0" collapsed="false">
      <c r="A63" s="8" t="s">
        <v>216</v>
      </c>
      <c r="B63" s="9" t="n">
        <v>121</v>
      </c>
      <c r="C63" s="10" t="n">
        <v>3.7</v>
      </c>
      <c r="D63" s="10" t="n">
        <v>11.9</v>
      </c>
      <c r="E63" s="10" t="n">
        <v>5.2</v>
      </c>
      <c r="F63" s="11" t="n">
        <v>5.2</v>
      </c>
      <c r="G63" s="11" t="n">
        <v>2.2</v>
      </c>
      <c r="H63" s="11" t="n">
        <v>0.62</v>
      </c>
      <c r="I63" s="11" t="n">
        <v>1.9</v>
      </c>
      <c r="J63" s="11" t="n">
        <v>2.1</v>
      </c>
      <c r="K63" s="11" t="n">
        <v>0</v>
      </c>
      <c r="L63" s="11" t="n">
        <v>6</v>
      </c>
      <c r="M63" s="11" t="n">
        <v>436</v>
      </c>
      <c r="N63" s="11" t="n">
        <v>63</v>
      </c>
      <c r="O63" s="11" t="n">
        <v>169</v>
      </c>
      <c r="P63" s="11" t="n">
        <v>64</v>
      </c>
      <c r="Q63" s="11" t="n">
        <v>2.27</v>
      </c>
      <c r="R63" s="11" t="n">
        <v>1.37</v>
      </c>
      <c r="S63" s="11" t="n">
        <v>8</v>
      </c>
      <c r="T63" s="11" t="n">
        <v>6.1</v>
      </c>
      <c r="U63" s="11" t="n">
        <v>0</v>
      </c>
      <c r="V63" s="11" t="n">
        <v>0.68</v>
      </c>
      <c r="W63" s="11" t="n">
        <v>0.2</v>
      </c>
      <c r="X63" s="11" t="n">
        <v>0.16</v>
      </c>
      <c r="Y63" s="11" t="n">
        <v>0.92</v>
      </c>
      <c r="Z63" s="11" t="n">
        <v>0.1</v>
      </c>
      <c r="AA63" s="11" t="n">
        <v>311</v>
      </c>
      <c r="AB63" s="11" t="n">
        <v>0</v>
      </c>
      <c r="AC63" s="12" t="s">
        <v>206</v>
      </c>
      <c r="AD63" s="12" t="s">
        <v>217</v>
      </c>
      <c r="AE63" s="12" t="s">
        <v>66</v>
      </c>
      <c r="AF63" s="12" t="s">
        <v>69</v>
      </c>
      <c r="AG63" s="12"/>
      <c r="AH63" s="12"/>
      <c r="AI63" s="12"/>
      <c r="AJ63" s="13" t="n">
        <v>0</v>
      </c>
      <c r="AK63" s="13" t="n">
        <v>0</v>
      </c>
      <c r="AL63" s="13" t="n">
        <v>0</v>
      </c>
      <c r="AM63" s="13" t="n">
        <v>0</v>
      </c>
      <c r="AN63" s="13" t="n">
        <v>0</v>
      </c>
      <c r="AO63" s="13" t="n">
        <v>0</v>
      </c>
      <c r="AP63" s="13" t="n">
        <v>0</v>
      </c>
      <c r="AQ63" s="13" t="n">
        <v>0</v>
      </c>
      <c r="AR63" s="13" t="n">
        <v>0</v>
      </c>
      <c r="AS63" s="13" t="n">
        <v>1</v>
      </c>
      <c r="AT63" s="13" t="n">
        <v>0</v>
      </c>
      <c r="AU63" s="13" t="n">
        <v>0</v>
      </c>
      <c r="AV63" s="13" t="n">
        <v>0</v>
      </c>
      <c r="AW63" s="13" t="n">
        <v>0</v>
      </c>
      <c r="AX63" s="13" t="n">
        <v>0</v>
      </c>
      <c r="AY63" s="13" t="n">
        <v>1</v>
      </c>
      <c r="AZ63" s="13" t="n">
        <v>0</v>
      </c>
      <c r="BA63" s="12" t="str">
        <f aca="false">_xlfn.TEXTJOIN(", ",TRUE(),IF(AJ63=1,"glutine",IF(AJ63=2,"glutine (tracce)","")),IF(AK63=1,"latte",IF(AK63=2,"latte (tracce)","")),IF(AL63=1,"lattosio",IF(AL63=2,"lattosio (tracce)","")),IF(AM63=1,"uova",IF(AM63=2,"uova (tracce)","")),IF(AN63=1,"pesce",IF(AN63=2,"pesce (tracce)","")),IF(AO63=1,"crostacei",IF(AO63=2,"crostacei (tracce)","")),IF(AP63=1,"molluschi",IF(AP63=2,"molluschi (tracce)","")),IF(AQ63=1,"frutta a guscio",IF(AQ63=2,"frutta a guscio (tracce)","")),IF(AR63=1,"arachidi",IF(AR63=2,"arachidi (tracce)","")),IF(AS63=1,"soia",IF(AS63=2,"soia (tracce)","")),IF(AT63=1,"sesamo",IF(AT63=2,"sesamo (tracce)","")),IF(AU63=1,"sedano",IF(AU63=2,"sedano (tracce)","")),IF(AV63=1,"senape",IF(AV63=2,"senape (tracce)","")),IF(AW63=1,"solfiti",IF(AW63=2,"solfiti (tracce)","")),IF(AX63=1,"lupini",IF(AX63=2,"lupini (tracce)","")),IF(AY63=1,"nichel",IF(AY63=2,"nichel (tracce)","")),IF(AZ63=1,"FODMAP",IF(AZ63=2,"FODMAP (tracce)","")))</f>
        <v>soia, nichel</v>
      </c>
      <c r="BB63" s="12" t="n">
        <f aca="false">ROUND(4*C63+4*D63+9*E63+2*N(F63),0)</f>
        <v>120</v>
      </c>
      <c r="BC63" s="12" t="s">
        <v>70</v>
      </c>
      <c r="BD63" s="12"/>
    </row>
    <row r="64" customFormat="false" ht="15" hidden="false" customHeight="false" outlineLevel="0" collapsed="false">
      <c r="A64" s="8" t="s">
        <v>218</v>
      </c>
      <c r="B64" s="9" t="n">
        <v>119</v>
      </c>
      <c r="C64" s="10" t="n">
        <v>7.1</v>
      </c>
      <c r="D64" s="10" t="n">
        <v>15.6</v>
      </c>
      <c r="E64" s="10" t="n">
        <v>2.9</v>
      </c>
      <c r="F64" s="11" t="n">
        <v>2.8</v>
      </c>
      <c r="G64" s="11"/>
      <c r="H64" s="11" t="n">
        <v>0.35</v>
      </c>
      <c r="I64" s="11" t="n">
        <v>1.2</v>
      </c>
      <c r="J64" s="11" t="n">
        <v>0.7</v>
      </c>
      <c r="K64" s="11" t="n">
        <v>0</v>
      </c>
      <c r="L64" s="11" t="n">
        <v>600</v>
      </c>
      <c r="M64" s="11" t="n">
        <v>245</v>
      </c>
      <c r="N64" s="11" t="n">
        <v>51</v>
      </c>
      <c r="O64" s="11" t="n">
        <v>128</v>
      </c>
      <c r="P64" s="11" t="n">
        <v>54</v>
      </c>
      <c r="Q64" s="11" t="n">
        <v>1.2</v>
      </c>
      <c r="R64" s="11" t="n">
        <v>1.38</v>
      </c>
      <c r="S64" s="11" t="n">
        <v>0</v>
      </c>
      <c r="T64" s="11" t="n">
        <v>1.1</v>
      </c>
      <c r="U64" s="11" t="n">
        <v>0</v>
      </c>
      <c r="V64" s="11"/>
      <c r="W64" s="11" t="n">
        <v>0.13</v>
      </c>
      <c r="X64" s="11" t="n">
        <v>0.05</v>
      </c>
      <c r="Y64" s="11" t="n">
        <v>0.5</v>
      </c>
      <c r="Z64" s="11" t="n">
        <v>0.01</v>
      </c>
      <c r="AA64" s="11" t="n">
        <v>59</v>
      </c>
      <c r="AB64" s="11" t="n">
        <v>0</v>
      </c>
      <c r="AC64" s="12" t="s">
        <v>206</v>
      </c>
      <c r="AD64" s="12" t="s">
        <v>219</v>
      </c>
      <c r="AE64" s="12" t="s">
        <v>66</v>
      </c>
      <c r="AF64" s="12" t="s">
        <v>176</v>
      </c>
      <c r="AG64" s="12"/>
      <c r="AH64" s="12"/>
      <c r="AI64" s="12"/>
      <c r="AJ64" s="13" t="n">
        <v>0</v>
      </c>
      <c r="AK64" s="13" t="n">
        <v>0</v>
      </c>
      <c r="AL64" s="13" t="n">
        <v>0</v>
      </c>
      <c r="AM64" s="13" t="n">
        <v>0</v>
      </c>
      <c r="AN64" s="13" t="n">
        <v>0</v>
      </c>
      <c r="AO64" s="13" t="n">
        <v>0</v>
      </c>
      <c r="AP64" s="13" t="n">
        <v>0</v>
      </c>
      <c r="AQ64" s="13" t="n">
        <v>0</v>
      </c>
      <c r="AR64" s="13" t="n">
        <v>0</v>
      </c>
      <c r="AS64" s="13" t="n">
        <v>0</v>
      </c>
      <c r="AT64" s="13" t="n">
        <v>0</v>
      </c>
      <c r="AU64" s="13" t="n">
        <v>0</v>
      </c>
      <c r="AV64" s="13" t="n">
        <v>0</v>
      </c>
      <c r="AW64" s="13" t="n">
        <v>0</v>
      </c>
      <c r="AX64" s="13" t="n">
        <v>1</v>
      </c>
      <c r="AY64" s="13" t="n">
        <v>0</v>
      </c>
      <c r="AZ64" s="13" t="n">
        <v>0</v>
      </c>
      <c r="BA64" s="12" t="str">
        <f aca="false">_xlfn.TEXTJOIN(", ",TRUE(),IF(AJ64=1,"glutine",IF(AJ64=2,"glutine (tracce)","")),IF(AK64=1,"latte",IF(AK64=2,"latte (tracce)","")),IF(AL64=1,"lattosio",IF(AL64=2,"lattosio (tracce)","")),IF(AM64=1,"uova",IF(AM64=2,"uova (tracce)","")),IF(AN64=1,"pesce",IF(AN64=2,"pesce (tracce)","")),IF(AO64=1,"crostacei",IF(AO64=2,"crostacei (tracce)","")),IF(AP64=1,"molluschi",IF(AP64=2,"molluschi (tracce)","")),IF(AQ64=1,"frutta a guscio",IF(AQ64=2,"frutta a guscio (tracce)","")),IF(AR64=1,"arachidi",IF(AR64=2,"arachidi (tracce)","")),IF(AS64=1,"soia",IF(AS64=2,"soia (tracce)","")),IF(AT64=1,"sesamo",IF(AT64=2,"sesamo (tracce)","")),IF(AU64=1,"sedano",IF(AU64=2,"sedano (tracce)","")),IF(AV64=1,"senape",IF(AV64=2,"senape (tracce)","")),IF(AW64=1,"solfiti",IF(AW64=2,"solfiti (tracce)","")),IF(AX64=1,"lupini",IF(AX64=2,"lupini (tracce)","")),IF(AY64=1,"nichel",IF(AY64=2,"nichel (tracce)","")),IF(AZ64=1,"FODMAP",IF(AZ64=2,"FODMAP (tracce)","")))</f>
        <v>lupini</v>
      </c>
      <c r="BB64" s="12" t="n">
        <f aca="false">ROUND(4*C64+4*D64+9*E64+2*N(F64),0)</f>
        <v>122</v>
      </c>
      <c r="BC64" s="12" t="s">
        <v>70</v>
      </c>
      <c r="BD64" s="12" t="s">
        <v>220</v>
      </c>
    </row>
    <row r="65" customFormat="false" ht="15" hidden="false" customHeight="false" outlineLevel="0" collapsed="false">
      <c r="A65" s="14" t="s">
        <v>221</v>
      </c>
      <c r="B65" s="15" t="n">
        <v>364</v>
      </c>
      <c r="C65" s="16" t="n">
        <v>43.3</v>
      </c>
      <c r="D65" s="16" t="n">
        <v>19.3</v>
      </c>
      <c r="E65" s="16" t="n">
        <v>6</v>
      </c>
      <c r="F65" s="17" t="n">
        <v>17.4</v>
      </c>
      <c r="G65" s="17" t="n">
        <v>10.7</v>
      </c>
      <c r="H65" s="17" t="n">
        <v>0.63</v>
      </c>
      <c r="I65" s="17" t="n">
        <v>1.35</v>
      </c>
      <c r="J65" s="17" t="n">
        <v>2.73</v>
      </c>
      <c r="K65" s="17" t="n">
        <v>0</v>
      </c>
      <c r="L65" s="17" t="n">
        <v>24</v>
      </c>
      <c r="M65" s="17" t="n">
        <v>875</v>
      </c>
      <c r="N65" s="17" t="n">
        <v>105</v>
      </c>
      <c r="O65" s="17" t="n">
        <v>366</v>
      </c>
      <c r="P65" s="17" t="n">
        <v>115</v>
      </c>
      <c r="Q65" s="17" t="n">
        <v>6.24</v>
      </c>
      <c r="R65" s="17" t="n">
        <v>3.43</v>
      </c>
      <c r="S65" s="17" t="n">
        <v>3</v>
      </c>
      <c r="T65" s="17" t="n">
        <v>4</v>
      </c>
      <c r="U65" s="17" t="n">
        <v>0</v>
      </c>
      <c r="V65" s="17" t="n">
        <v>0.82</v>
      </c>
      <c r="W65" s="17" t="n">
        <v>0.48</v>
      </c>
      <c r="X65" s="17" t="n">
        <v>0.21</v>
      </c>
      <c r="Y65" s="17" t="n">
        <v>1.54</v>
      </c>
      <c r="Z65" s="17" t="n">
        <v>0.54</v>
      </c>
      <c r="AA65" s="17" t="n">
        <v>557</v>
      </c>
      <c r="AB65" s="17" t="n">
        <v>0</v>
      </c>
      <c r="AC65" s="18" t="s">
        <v>222</v>
      </c>
      <c r="AD65" s="18" t="s">
        <v>223</v>
      </c>
      <c r="AE65" s="18" t="s">
        <v>224</v>
      </c>
      <c r="AF65" s="18" t="s">
        <v>215</v>
      </c>
      <c r="AG65" s="18"/>
      <c r="AH65" s="18"/>
      <c r="AI65" s="18"/>
      <c r="AJ65" s="7" t="n">
        <v>0</v>
      </c>
      <c r="AK65" s="7" t="n">
        <v>0</v>
      </c>
      <c r="AL65" s="7" t="n">
        <v>0</v>
      </c>
      <c r="AM65" s="7" t="n">
        <v>0</v>
      </c>
      <c r="AN65" s="7" t="n">
        <v>0</v>
      </c>
      <c r="AO65" s="7" t="n">
        <v>0</v>
      </c>
      <c r="AP65" s="7" t="n">
        <v>0</v>
      </c>
      <c r="AQ65" s="7" t="n">
        <v>0</v>
      </c>
      <c r="AR65" s="7" t="n">
        <v>0</v>
      </c>
      <c r="AS65" s="7" t="n">
        <v>0</v>
      </c>
      <c r="AT65" s="7" t="n">
        <v>0</v>
      </c>
      <c r="AU65" s="7" t="n">
        <v>0</v>
      </c>
      <c r="AV65" s="7" t="n">
        <v>0</v>
      </c>
      <c r="AW65" s="7" t="n">
        <v>0</v>
      </c>
      <c r="AX65" s="7" t="n">
        <v>0</v>
      </c>
      <c r="AY65" s="7" t="n">
        <v>1</v>
      </c>
      <c r="AZ65" s="7" t="n">
        <v>1</v>
      </c>
      <c r="BA65" s="18" t="str">
        <f aca="false">_xlfn.TEXTJOIN(", ",TRUE(),IF(AJ65=1,"glutine",IF(AJ65=2,"glutine (tracce)","")),IF(AK65=1,"latte",IF(AK65=2,"latte (tracce)","")),IF(AL65=1,"lattosio",IF(AL65=2,"lattosio (tracce)","")),IF(AM65=1,"uova",IF(AM65=2,"uova (tracce)","")),IF(AN65=1,"pesce",IF(AN65=2,"pesce (tracce)","")),IF(AO65=1,"crostacei",IF(AO65=2,"crostacei (tracce)","")),IF(AP65=1,"molluschi",IF(AP65=2,"molluschi (tracce)","")),IF(AQ65=1,"frutta a guscio",IF(AQ65=2,"frutta a guscio (tracce)","")),IF(AR65=1,"arachidi",IF(AR65=2,"arachidi (tracce)","")),IF(AS65=1,"soia",IF(AS65=2,"soia (tracce)","")),IF(AT65=1,"sesamo",IF(AT65=2,"sesamo (tracce)","")),IF(AU65=1,"sedano",IF(AU65=2,"sedano (tracce)","")),IF(AV65=1,"senape",IF(AV65=2,"senape (tracce)","")),IF(AW65=1,"solfiti",IF(AW65=2,"solfiti (tracce)","")),IF(AX65=1,"lupini",IF(AX65=2,"lupini (tracce)","")),IF(AY65=1,"nichel",IF(AY65=2,"nichel (tracce)","")),IF(AZ65=1,"FODMAP",IF(AZ65=2,"FODMAP (tracce)","")))</f>
        <v>nichel, FODMAP</v>
      </c>
      <c r="BB65" s="18" t="n">
        <f aca="false">ROUND(4*C65+4*D65+9*E65+2*N(F65),0)</f>
        <v>339</v>
      </c>
      <c r="BC65" s="18" t="s">
        <v>70</v>
      </c>
      <c r="BD65" s="18"/>
    </row>
    <row r="66" customFormat="false" ht="15" hidden="false" customHeight="false" outlineLevel="0" collapsed="false">
      <c r="A66" s="19" t="s">
        <v>225</v>
      </c>
      <c r="B66" s="20" t="n">
        <v>335</v>
      </c>
      <c r="C66" s="21" t="n">
        <v>35.4</v>
      </c>
      <c r="D66" s="21" t="n">
        <v>23</v>
      </c>
      <c r="E66" s="21" t="n">
        <v>1.2</v>
      </c>
      <c r="F66" s="22" t="n">
        <v>24.7</v>
      </c>
      <c r="G66" s="22" t="n">
        <v>2.2</v>
      </c>
      <c r="H66" s="22" t="n">
        <v>0.31</v>
      </c>
      <c r="I66" s="22" t="n">
        <v>0.1</v>
      </c>
      <c r="J66" s="22" t="n">
        <v>0.5</v>
      </c>
      <c r="K66" s="22" t="n">
        <v>0</v>
      </c>
      <c r="L66" s="22" t="n">
        <v>6</v>
      </c>
      <c r="M66" s="22" t="n">
        <v>1332</v>
      </c>
      <c r="N66" s="22" t="n">
        <v>127</v>
      </c>
      <c r="O66" s="22" t="n">
        <v>372</v>
      </c>
      <c r="P66" s="22" t="n">
        <v>156</v>
      </c>
      <c r="Q66" s="22" t="n">
        <v>5</v>
      </c>
      <c r="R66" s="22" t="n">
        <v>3.63</v>
      </c>
      <c r="S66" s="22" t="n">
        <v>0</v>
      </c>
      <c r="T66" s="22" t="n">
        <v>0</v>
      </c>
      <c r="U66" s="22" t="n">
        <v>0</v>
      </c>
      <c r="V66" s="22" t="n">
        <v>0.21</v>
      </c>
      <c r="W66" s="22" t="n">
        <v>0.37</v>
      </c>
      <c r="X66" s="22" t="n">
        <v>0.21</v>
      </c>
      <c r="Y66" s="22" t="n">
        <v>1.46</v>
      </c>
      <c r="Z66" s="22" t="n">
        <v>0.31</v>
      </c>
      <c r="AA66" s="22" t="n">
        <v>604</v>
      </c>
      <c r="AB66" s="22" t="n">
        <v>0</v>
      </c>
      <c r="AC66" s="23" t="s">
        <v>222</v>
      </c>
      <c r="AD66" s="23" t="s">
        <v>226</v>
      </c>
      <c r="AE66" s="23" t="s">
        <v>224</v>
      </c>
      <c r="AF66" s="23" t="s">
        <v>215</v>
      </c>
      <c r="AG66" s="23"/>
      <c r="AH66" s="23"/>
      <c r="AI66" s="23"/>
      <c r="AJ66" s="13" t="n">
        <v>0</v>
      </c>
      <c r="AK66" s="13" t="n">
        <v>0</v>
      </c>
      <c r="AL66" s="13" t="n">
        <v>0</v>
      </c>
      <c r="AM66" s="13" t="n">
        <v>0</v>
      </c>
      <c r="AN66" s="13" t="n">
        <v>0</v>
      </c>
      <c r="AO66" s="13" t="n">
        <v>0</v>
      </c>
      <c r="AP66" s="13" t="n">
        <v>0</v>
      </c>
      <c r="AQ66" s="13" t="n">
        <v>0</v>
      </c>
      <c r="AR66" s="13" t="n">
        <v>0</v>
      </c>
      <c r="AS66" s="13" t="n">
        <v>0</v>
      </c>
      <c r="AT66" s="13" t="n">
        <v>0</v>
      </c>
      <c r="AU66" s="13" t="n">
        <v>0</v>
      </c>
      <c r="AV66" s="13" t="n">
        <v>0</v>
      </c>
      <c r="AW66" s="13" t="n">
        <v>0</v>
      </c>
      <c r="AX66" s="13" t="n">
        <v>0</v>
      </c>
      <c r="AY66" s="13" t="n">
        <v>1</v>
      </c>
      <c r="AZ66" s="13" t="n">
        <v>1</v>
      </c>
      <c r="BA66" s="23" t="str">
        <f aca="false">_xlfn.TEXTJOIN(", ",TRUE(),IF(AJ66=1,"glutine",IF(AJ66=2,"glutine (tracce)","")),IF(AK66=1,"latte",IF(AK66=2,"latte (tracce)","")),IF(AL66=1,"lattosio",IF(AL66=2,"lattosio (tracce)","")),IF(AM66=1,"uova",IF(AM66=2,"uova (tracce)","")),IF(AN66=1,"pesce",IF(AN66=2,"pesce (tracce)","")),IF(AO66=1,"crostacei",IF(AO66=2,"crostacei (tracce)","")),IF(AP66=1,"molluschi",IF(AP66=2,"molluschi (tracce)","")),IF(AQ66=1,"frutta a guscio",IF(AQ66=2,"frutta a guscio (tracce)","")),IF(AR66=1,"arachidi",IF(AR66=2,"arachidi (tracce)","")),IF(AS66=1,"soia",IF(AS66=2,"soia (tracce)","")),IF(AT66=1,"sesamo",IF(AT66=2,"sesamo (tracce)","")),IF(AU66=1,"sedano",IF(AU66=2,"sedano (tracce)","")),IF(AV66=1,"senape",IF(AV66=2,"senape (tracce)","")),IF(AW66=1,"solfiti",IF(AW66=2,"solfiti (tracce)","")),IF(AX66=1,"lupini",IF(AX66=2,"lupini (tracce)","")),IF(AY66=1,"nichel",IF(AY66=2,"nichel (tracce)","")),IF(AZ66=1,"FODMAP",IF(AZ66=2,"FODMAP (tracce)","")))</f>
        <v>nichel, FODMAP</v>
      </c>
      <c r="BB66" s="23" t="n">
        <f aca="false">ROUND(4*C66+4*D66+9*E66+2*N(F66),0)</f>
        <v>294</v>
      </c>
      <c r="BC66" s="23" t="s">
        <v>70</v>
      </c>
      <c r="BD66" s="23"/>
    </row>
    <row r="67" customFormat="false" ht="15" hidden="false" customHeight="false" outlineLevel="0" collapsed="false">
      <c r="A67" s="19" t="s">
        <v>227</v>
      </c>
      <c r="B67" s="20" t="n">
        <v>333</v>
      </c>
      <c r="C67" s="21" t="n">
        <v>45.1</v>
      </c>
      <c r="D67" s="21" t="n">
        <v>23.4</v>
      </c>
      <c r="E67" s="21" t="n">
        <v>0.9</v>
      </c>
      <c r="F67" s="22" t="n">
        <v>15.2</v>
      </c>
      <c r="G67" s="22" t="n">
        <v>2.1</v>
      </c>
      <c r="H67" s="22" t="n">
        <v>0.22</v>
      </c>
      <c r="I67" s="22" t="n">
        <v>0.07</v>
      </c>
      <c r="J67" s="22" t="n">
        <v>0.37</v>
      </c>
      <c r="K67" s="22" t="n">
        <v>0</v>
      </c>
      <c r="L67" s="22" t="n">
        <v>16</v>
      </c>
      <c r="M67" s="22" t="n">
        <v>1795</v>
      </c>
      <c r="N67" s="22" t="n">
        <v>240</v>
      </c>
      <c r="O67" s="22" t="n">
        <v>301</v>
      </c>
      <c r="P67" s="22" t="n">
        <v>190</v>
      </c>
      <c r="Q67" s="22" t="n">
        <v>10.4</v>
      </c>
      <c r="R67" s="22" t="n">
        <v>3.67</v>
      </c>
      <c r="S67" s="22" t="n">
        <v>0</v>
      </c>
      <c r="T67" s="22" t="n">
        <v>0</v>
      </c>
      <c r="U67" s="22" t="n">
        <v>0</v>
      </c>
      <c r="V67" s="22" t="n">
        <v>0.21</v>
      </c>
      <c r="W67" s="22" t="n">
        <v>0.44</v>
      </c>
      <c r="X67" s="22" t="n">
        <v>0.15</v>
      </c>
      <c r="Y67" s="22" t="n">
        <v>0.48</v>
      </c>
      <c r="Z67" s="22" t="n">
        <v>0.32</v>
      </c>
      <c r="AA67" s="22" t="n">
        <v>388</v>
      </c>
      <c r="AB67" s="22" t="n">
        <v>0</v>
      </c>
      <c r="AC67" s="23" t="s">
        <v>222</v>
      </c>
      <c r="AD67" s="23" t="s">
        <v>228</v>
      </c>
      <c r="AE67" s="23" t="s">
        <v>224</v>
      </c>
      <c r="AF67" s="23" t="s">
        <v>215</v>
      </c>
      <c r="AG67" s="23"/>
      <c r="AH67" s="23"/>
      <c r="AI67" s="23"/>
      <c r="AJ67" s="13" t="n">
        <v>0</v>
      </c>
      <c r="AK67" s="13" t="n">
        <v>0</v>
      </c>
      <c r="AL67" s="13" t="n">
        <v>0</v>
      </c>
      <c r="AM67" s="13" t="n">
        <v>0</v>
      </c>
      <c r="AN67" s="13" t="n">
        <v>0</v>
      </c>
      <c r="AO67" s="13" t="n">
        <v>0</v>
      </c>
      <c r="AP67" s="13" t="n">
        <v>0</v>
      </c>
      <c r="AQ67" s="13" t="n">
        <v>0</v>
      </c>
      <c r="AR67" s="13" t="n">
        <v>0</v>
      </c>
      <c r="AS67" s="13" t="n">
        <v>0</v>
      </c>
      <c r="AT67" s="13" t="n">
        <v>0</v>
      </c>
      <c r="AU67" s="13" t="n">
        <v>0</v>
      </c>
      <c r="AV67" s="13" t="n">
        <v>0</v>
      </c>
      <c r="AW67" s="13" t="n">
        <v>0</v>
      </c>
      <c r="AX67" s="13" t="n">
        <v>0</v>
      </c>
      <c r="AY67" s="13" t="n">
        <v>1</v>
      </c>
      <c r="AZ67" s="13" t="n">
        <v>1</v>
      </c>
      <c r="BA67" s="23" t="str">
        <f aca="false">_xlfn.TEXTJOIN(", ",TRUE(),IF(AJ67=1,"glutine",IF(AJ67=2,"glutine (tracce)","")),IF(AK67=1,"latte",IF(AK67=2,"latte (tracce)","")),IF(AL67=1,"lattosio",IF(AL67=2,"lattosio (tracce)","")),IF(AM67=1,"uova",IF(AM67=2,"uova (tracce)","")),IF(AN67=1,"pesce",IF(AN67=2,"pesce (tracce)","")),IF(AO67=1,"crostacei",IF(AO67=2,"crostacei (tracce)","")),IF(AP67=1,"molluschi",IF(AP67=2,"molluschi (tracce)","")),IF(AQ67=1,"frutta a guscio",IF(AQ67=2,"frutta a guscio (tracce)","")),IF(AR67=1,"arachidi",IF(AR67=2,"arachidi (tracce)","")),IF(AS67=1,"soia",IF(AS67=2,"soia (tracce)","")),IF(AT67=1,"sesamo",IF(AT67=2,"sesamo (tracce)","")),IF(AU67=1,"sedano",IF(AU67=2,"sedano (tracce)","")),IF(AV67=1,"senape",IF(AV67=2,"senape (tracce)","")),IF(AW67=1,"solfiti",IF(AW67=2,"solfiti (tracce)","")),IF(AX67=1,"lupini",IF(AX67=2,"lupini (tracce)","")),IF(AY67=1,"nichel",IF(AY67=2,"nichel (tracce)","")),IF(AZ67=1,"FODMAP",IF(AZ67=2,"FODMAP (tracce)","")))</f>
        <v>nichel, FODMAP</v>
      </c>
      <c r="BB67" s="23" t="n">
        <f aca="false">ROUND(4*C67+4*D67+9*E67+2*N(F67),0)</f>
        <v>313</v>
      </c>
      <c r="BC67" s="23" t="s">
        <v>70</v>
      </c>
      <c r="BD67" s="23"/>
    </row>
    <row r="68" customFormat="false" ht="15" hidden="false" customHeight="false" outlineLevel="0" collapsed="false">
      <c r="A68" s="19" t="s">
        <v>229</v>
      </c>
      <c r="B68" s="20" t="n">
        <v>352</v>
      </c>
      <c r="C68" s="21" t="n">
        <v>52.7</v>
      </c>
      <c r="D68" s="21" t="n">
        <v>24.6</v>
      </c>
      <c r="E68" s="21" t="n">
        <v>1.1</v>
      </c>
      <c r="F68" s="22" t="n">
        <v>10.7</v>
      </c>
      <c r="G68" s="22" t="n">
        <v>2</v>
      </c>
      <c r="H68" s="22" t="n">
        <v>0.15</v>
      </c>
      <c r="I68" s="22" t="n">
        <v>0.19</v>
      </c>
      <c r="J68" s="22" t="n">
        <v>0.53</v>
      </c>
      <c r="K68" s="22" t="n">
        <v>0</v>
      </c>
      <c r="L68" s="22" t="n">
        <v>6</v>
      </c>
      <c r="M68" s="22" t="n">
        <v>677</v>
      </c>
      <c r="N68" s="22" t="n">
        <v>35</v>
      </c>
      <c r="O68" s="22" t="n">
        <v>281</v>
      </c>
      <c r="P68" s="22" t="n">
        <v>47</v>
      </c>
      <c r="Q68" s="22" t="n">
        <v>6.51</v>
      </c>
      <c r="R68" s="22" t="n">
        <v>3.27</v>
      </c>
      <c r="S68" s="22" t="n">
        <v>2</v>
      </c>
      <c r="T68" s="22" t="n">
        <v>4.5</v>
      </c>
      <c r="U68" s="22" t="n">
        <v>0</v>
      </c>
      <c r="V68" s="22" t="n">
        <v>0.49</v>
      </c>
      <c r="W68" s="22" t="n">
        <v>0.87</v>
      </c>
      <c r="X68" s="22" t="n">
        <v>0.21</v>
      </c>
      <c r="Y68" s="22" t="n">
        <v>2.6</v>
      </c>
      <c r="Z68" s="22" t="n">
        <v>0.54</v>
      </c>
      <c r="AA68" s="22" t="n">
        <v>479</v>
      </c>
      <c r="AB68" s="22" t="n">
        <v>0</v>
      </c>
      <c r="AC68" s="23" t="s">
        <v>222</v>
      </c>
      <c r="AD68" s="23" t="s">
        <v>230</v>
      </c>
      <c r="AE68" s="23" t="s">
        <v>224</v>
      </c>
      <c r="AF68" s="23" t="s">
        <v>215</v>
      </c>
      <c r="AG68" s="23"/>
      <c r="AH68" s="23"/>
      <c r="AI68" s="23"/>
      <c r="AJ68" s="13" t="n">
        <v>0</v>
      </c>
      <c r="AK68" s="13" t="n">
        <v>0</v>
      </c>
      <c r="AL68" s="13" t="n">
        <v>0</v>
      </c>
      <c r="AM68" s="13" t="n">
        <v>0</v>
      </c>
      <c r="AN68" s="13" t="n">
        <v>0</v>
      </c>
      <c r="AO68" s="13" t="n">
        <v>0</v>
      </c>
      <c r="AP68" s="13" t="n">
        <v>0</v>
      </c>
      <c r="AQ68" s="13" t="n">
        <v>0</v>
      </c>
      <c r="AR68" s="13" t="n">
        <v>0</v>
      </c>
      <c r="AS68" s="13" t="n">
        <v>0</v>
      </c>
      <c r="AT68" s="13" t="n">
        <v>0</v>
      </c>
      <c r="AU68" s="13" t="n">
        <v>0</v>
      </c>
      <c r="AV68" s="13" t="n">
        <v>0</v>
      </c>
      <c r="AW68" s="13" t="n">
        <v>0</v>
      </c>
      <c r="AX68" s="13" t="n">
        <v>0</v>
      </c>
      <c r="AY68" s="13" t="n">
        <v>1</v>
      </c>
      <c r="AZ68" s="13" t="n">
        <v>1</v>
      </c>
      <c r="BA68" s="23" t="str">
        <f aca="false">_xlfn.TEXTJOIN(", ",TRUE(),IF(AJ68=1,"glutine",IF(AJ68=2,"glutine (tracce)","")),IF(AK68=1,"latte",IF(AK68=2,"latte (tracce)","")),IF(AL68=1,"lattosio",IF(AL68=2,"lattosio (tracce)","")),IF(AM68=1,"uova",IF(AM68=2,"uova (tracce)","")),IF(AN68=1,"pesce",IF(AN68=2,"pesce (tracce)","")),IF(AO68=1,"crostacei",IF(AO68=2,"crostacei (tracce)","")),IF(AP68=1,"molluschi",IF(AP68=2,"molluschi (tracce)","")),IF(AQ68=1,"frutta a guscio",IF(AQ68=2,"frutta a guscio (tracce)","")),IF(AR68=1,"arachidi",IF(AR68=2,"arachidi (tracce)","")),IF(AS68=1,"soia",IF(AS68=2,"soia (tracce)","")),IF(AT68=1,"sesamo",IF(AT68=2,"sesamo (tracce)","")),IF(AU68=1,"sedano",IF(AU68=2,"sedano (tracce)","")),IF(AV68=1,"senape",IF(AV68=2,"senape (tracce)","")),IF(AW68=1,"solfiti",IF(AW68=2,"solfiti (tracce)","")),IF(AX68=1,"lupini",IF(AX68=2,"lupini (tracce)","")),IF(AY68=1,"nichel",IF(AY68=2,"nichel (tracce)","")),IF(AZ68=1,"FODMAP",IF(AZ68=2,"FODMAP (tracce)","")))</f>
        <v>nichel, FODMAP</v>
      </c>
      <c r="BB68" s="23" t="n">
        <f aca="false">ROUND(4*C68+4*D68+9*E68+2*N(F68),0)</f>
        <v>341</v>
      </c>
      <c r="BC68" s="23" t="s">
        <v>70</v>
      </c>
      <c r="BD68" s="23"/>
    </row>
    <row r="69" customFormat="false" ht="15" hidden="false" customHeight="false" outlineLevel="0" collapsed="false">
      <c r="A69" s="19" t="s">
        <v>231</v>
      </c>
      <c r="B69" s="20" t="n">
        <v>358</v>
      </c>
      <c r="C69" s="21" t="n">
        <v>52.4</v>
      </c>
      <c r="D69" s="21" t="n">
        <v>23.9</v>
      </c>
      <c r="E69" s="21" t="n">
        <v>2.2</v>
      </c>
      <c r="F69" s="22" t="n">
        <v>10.8</v>
      </c>
      <c r="G69" s="22" t="n">
        <v>1.5</v>
      </c>
      <c r="H69" s="22" t="n">
        <v>0.38</v>
      </c>
      <c r="I69" s="22" t="n">
        <v>0.38</v>
      </c>
      <c r="J69" s="22" t="n">
        <v>0.94</v>
      </c>
      <c r="K69" s="22" t="n">
        <v>0</v>
      </c>
      <c r="L69" s="22" t="n">
        <v>7</v>
      </c>
      <c r="M69" s="22" t="n">
        <v>578</v>
      </c>
      <c r="N69" s="22" t="n">
        <v>48</v>
      </c>
      <c r="O69" s="22" t="n">
        <v>294</v>
      </c>
      <c r="P69" s="22" t="n">
        <v>59</v>
      </c>
      <c r="Q69" s="22" t="n">
        <v>7.39</v>
      </c>
      <c r="R69" s="22" t="n">
        <v>3.6</v>
      </c>
      <c r="S69" s="22" t="n">
        <v>3</v>
      </c>
      <c r="T69" s="22" t="n">
        <v>1.7</v>
      </c>
      <c r="U69" s="22" t="n">
        <v>0</v>
      </c>
      <c r="V69" s="22" t="n">
        <v>0.49</v>
      </c>
      <c r="W69" s="22" t="n">
        <v>0.51</v>
      </c>
      <c r="X69" s="22" t="n">
        <v>0.11</v>
      </c>
      <c r="Y69" s="22" t="n">
        <v>1.49</v>
      </c>
      <c r="Z69" s="22" t="n">
        <v>0.4</v>
      </c>
      <c r="AA69" s="22" t="n">
        <v>204</v>
      </c>
      <c r="AB69" s="22" t="n">
        <v>0</v>
      </c>
      <c r="AC69" s="23" t="s">
        <v>222</v>
      </c>
      <c r="AD69" s="23" t="s">
        <v>232</v>
      </c>
      <c r="AE69" s="23" t="s">
        <v>224</v>
      </c>
      <c r="AF69" s="23" t="s">
        <v>215</v>
      </c>
      <c r="AG69" s="23"/>
      <c r="AH69" s="23"/>
      <c r="AI69" s="23"/>
      <c r="AJ69" s="13" t="n">
        <v>0</v>
      </c>
      <c r="AK69" s="13" t="n">
        <v>0</v>
      </c>
      <c r="AL69" s="13" t="n">
        <v>0</v>
      </c>
      <c r="AM69" s="13" t="n">
        <v>0</v>
      </c>
      <c r="AN69" s="13" t="n">
        <v>0</v>
      </c>
      <c r="AO69" s="13" t="n">
        <v>0</v>
      </c>
      <c r="AP69" s="13" t="n">
        <v>0</v>
      </c>
      <c r="AQ69" s="13" t="n">
        <v>0</v>
      </c>
      <c r="AR69" s="13" t="n">
        <v>0</v>
      </c>
      <c r="AS69" s="13" t="n">
        <v>0</v>
      </c>
      <c r="AT69" s="13" t="n">
        <v>0</v>
      </c>
      <c r="AU69" s="13" t="n">
        <v>0</v>
      </c>
      <c r="AV69" s="13" t="n">
        <v>0</v>
      </c>
      <c r="AW69" s="13" t="n">
        <v>0</v>
      </c>
      <c r="AX69" s="13" t="n">
        <v>0</v>
      </c>
      <c r="AY69" s="13" t="n">
        <v>1</v>
      </c>
      <c r="AZ69" s="13" t="n">
        <v>1</v>
      </c>
      <c r="BA69" s="23" t="str">
        <f aca="false">_xlfn.TEXTJOIN(", ",TRUE(),IF(AJ69=1,"glutine",IF(AJ69=2,"glutine (tracce)","")),IF(AK69=1,"latte",IF(AK69=2,"latte (tracce)","")),IF(AL69=1,"lattosio",IF(AL69=2,"lattosio (tracce)","")),IF(AM69=1,"uova",IF(AM69=2,"uova (tracce)","")),IF(AN69=1,"pesce",IF(AN69=2,"pesce (tracce)","")),IF(AO69=1,"crostacei",IF(AO69=2,"crostacei (tracce)","")),IF(AP69=1,"molluschi",IF(AP69=2,"molluschi (tracce)","")),IF(AQ69=1,"frutta a guscio",IF(AQ69=2,"frutta a guscio (tracce)","")),IF(AR69=1,"arachidi",IF(AR69=2,"arachidi (tracce)","")),IF(AS69=1,"soia",IF(AS69=2,"soia (tracce)","")),IF(AT69=1,"sesamo",IF(AT69=2,"sesamo (tracce)","")),IF(AU69=1,"sedano",IF(AU69=2,"sedano (tracce)","")),IF(AV69=1,"senape",IF(AV69=2,"senape (tracce)","")),IF(AW69=1,"solfiti",IF(AW69=2,"solfiti (tracce)","")),IF(AX69=1,"lupini",IF(AX69=2,"lupini (tracce)","")),IF(AY69=1,"nichel",IF(AY69=2,"nichel (tracce)","")),IF(AZ69=1,"FODMAP",IF(AZ69=2,"FODMAP (tracce)","")))</f>
        <v>nichel, FODMAP</v>
      </c>
      <c r="BB69" s="23" t="n">
        <f aca="false">ROUND(4*C69+4*D69+9*E69+2*N(F69),0)</f>
        <v>347</v>
      </c>
      <c r="BC69" s="23" t="s">
        <v>70</v>
      </c>
      <c r="BD69" s="23" t="s">
        <v>233</v>
      </c>
    </row>
    <row r="70" customFormat="false" ht="15" hidden="false" customHeight="false" outlineLevel="0" collapsed="false">
      <c r="A70" s="19" t="s">
        <v>234</v>
      </c>
      <c r="B70" s="20" t="n">
        <v>120</v>
      </c>
      <c r="C70" s="21" t="n">
        <v>15.5</v>
      </c>
      <c r="D70" s="21" t="n">
        <v>7</v>
      </c>
      <c r="E70" s="21" t="n">
        <v>2.4</v>
      </c>
      <c r="F70" s="22" t="n">
        <v>5.6</v>
      </c>
      <c r="G70" s="22" t="n">
        <v>0.5</v>
      </c>
      <c r="H70" s="22" t="n">
        <v>0.25</v>
      </c>
      <c r="I70" s="22" t="n">
        <v>0.5</v>
      </c>
      <c r="J70" s="22" t="n">
        <v>1</v>
      </c>
      <c r="K70" s="22" t="n">
        <v>0</v>
      </c>
      <c r="L70" s="22" t="n">
        <v>250</v>
      </c>
      <c r="M70" s="22" t="n">
        <v>120</v>
      </c>
      <c r="N70" s="22" t="n">
        <v>40</v>
      </c>
      <c r="O70" s="22" t="n">
        <v>100</v>
      </c>
      <c r="P70" s="22" t="n">
        <v>25</v>
      </c>
      <c r="Q70" s="22" t="n">
        <v>1.3</v>
      </c>
      <c r="R70" s="22" t="n">
        <v>0.9</v>
      </c>
      <c r="S70" s="22" t="n">
        <v>1</v>
      </c>
      <c r="T70" s="22" t="n">
        <v>0</v>
      </c>
      <c r="U70" s="22" t="n">
        <v>0</v>
      </c>
      <c r="V70" s="22" t="n">
        <v>0.3</v>
      </c>
      <c r="W70" s="22" t="n">
        <v>0.03</v>
      </c>
      <c r="X70" s="22" t="n">
        <v>0.02</v>
      </c>
      <c r="Y70" s="22" t="n">
        <v>0.1</v>
      </c>
      <c r="Z70" s="22" t="n">
        <v>0.1</v>
      </c>
      <c r="AA70" s="22" t="n">
        <v>50</v>
      </c>
      <c r="AB70" s="22" t="n">
        <v>0</v>
      </c>
      <c r="AC70" s="23" t="s">
        <v>222</v>
      </c>
      <c r="AD70" s="23" t="s">
        <v>235</v>
      </c>
      <c r="AE70" s="23" t="s">
        <v>224</v>
      </c>
      <c r="AF70" s="23" t="s">
        <v>176</v>
      </c>
      <c r="AG70" s="23"/>
      <c r="AH70" s="23"/>
      <c r="AI70" s="23"/>
      <c r="AJ70" s="13" t="n">
        <v>0</v>
      </c>
      <c r="AK70" s="13" t="n">
        <v>0</v>
      </c>
      <c r="AL70" s="13" t="n">
        <v>0</v>
      </c>
      <c r="AM70" s="13" t="n">
        <v>0</v>
      </c>
      <c r="AN70" s="13" t="n">
        <v>0</v>
      </c>
      <c r="AO70" s="13" t="n">
        <v>0</v>
      </c>
      <c r="AP70" s="13" t="n">
        <v>0</v>
      </c>
      <c r="AQ70" s="13" t="n">
        <v>0</v>
      </c>
      <c r="AR70" s="13" t="n">
        <v>0</v>
      </c>
      <c r="AS70" s="13" t="n">
        <v>0</v>
      </c>
      <c r="AT70" s="13" t="n">
        <v>0</v>
      </c>
      <c r="AU70" s="13" t="n">
        <v>0</v>
      </c>
      <c r="AV70" s="13" t="n">
        <v>0</v>
      </c>
      <c r="AW70" s="13" t="n">
        <v>0</v>
      </c>
      <c r="AX70" s="13" t="n">
        <v>0</v>
      </c>
      <c r="AY70" s="13" t="n">
        <v>1</v>
      </c>
      <c r="AZ70" s="13" t="n">
        <v>1</v>
      </c>
      <c r="BA70" s="23" t="str">
        <f aca="false">_xlfn.TEXTJOIN(", ",TRUE(),IF(AJ70=1,"glutine",IF(AJ70=2,"glutine (tracce)","")),IF(AK70=1,"latte",IF(AK70=2,"latte (tracce)","")),IF(AL70=1,"lattosio",IF(AL70=2,"lattosio (tracce)","")),IF(AM70=1,"uova",IF(AM70=2,"uova (tracce)","")),IF(AN70=1,"pesce",IF(AN70=2,"pesce (tracce)","")),IF(AO70=1,"crostacei",IF(AO70=2,"crostacei (tracce)","")),IF(AP70=1,"molluschi",IF(AP70=2,"molluschi (tracce)","")),IF(AQ70=1,"frutta a guscio",IF(AQ70=2,"frutta a guscio (tracce)","")),IF(AR70=1,"arachidi",IF(AR70=2,"arachidi (tracce)","")),IF(AS70=1,"soia",IF(AS70=2,"soia (tracce)","")),IF(AT70=1,"sesamo",IF(AT70=2,"sesamo (tracce)","")),IF(AU70=1,"sedano",IF(AU70=2,"sedano (tracce)","")),IF(AV70=1,"senape",IF(AV70=2,"senape (tracce)","")),IF(AW70=1,"solfiti",IF(AW70=2,"solfiti (tracce)","")),IF(AX70=1,"lupini",IF(AX70=2,"lupini (tracce)","")),IF(AY70=1,"nichel",IF(AY70=2,"nichel (tracce)","")),IF(AZ70=1,"FODMAP",IF(AZ70=2,"FODMAP (tracce)","")))</f>
        <v>nichel, FODMAP</v>
      </c>
      <c r="BB70" s="23" t="n">
        <f aca="false">ROUND(4*C70+4*D70+9*E70+2*N(F70),0)</f>
        <v>123</v>
      </c>
      <c r="BC70" s="23" t="s">
        <v>78</v>
      </c>
      <c r="BD70" s="23" t="s">
        <v>236</v>
      </c>
    </row>
    <row r="71" customFormat="false" ht="15" hidden="false" customHeight="false" outlineLevel="0" collapsed="false">
      <c r="A71" s="19" t="s">
        <v>237</v>
      </c>
      <c r="B71" s="20" t="n">
        <v>95</v>
      </c>
      <c r="C71" s="21" t="n">
        <v>13</v>
      </c>
      <c r="D71" s="21" t="n">
        <v>6.5</v>
      </c>
      <c r="E71" s="21" t="n">
        <v>0.5</v>
      </c>
      <c r="F71" s="22" t="n">
        <v>6</v>
      </c>
      <c r="G71" s="22" t="n">
        <v>0.5</v>
      </c>
      <c r="H71" s="22" t="n">
        <v>0.1</v>
      </c>
      <c r="I71" s="22" t="n">
        <v>0.05</v>
      </c>
      <c r="J71" s="22" t="n">
        <v>0.2</v>
      </c>
      <c r="K71" s="22" t="n">
        <v>0</v>
      </c>
      <c r="L71" s="22" t="n">
        <v>250</v>
      </c>
      <c r="M71" s="22" t="n">
        <v>300</v>
      </c>
      <c r="N71" s="22" t="n">
        <v>50</v>
      </c>
      <c r="O71" s="22" t="n">
        <v>110</v>
      </c>
      <c r="P71" s="22" t="n">
        <v>40</v>
      </c>
      <c r="Q71" s="22" t="n">
        <v>1.8</v>
      </c>
      <c r="R71" s="22" t="n">
        <v>0.8</v>
      </c>
      <c r="S71" s="22" t="n">
        <v>0</v>
      </c>
      <c r="T71" s="22" t="n">
        <v>0</v>
      </c>
      <c r="U71" s="22" t="n">
        <v>0</v>
      </c>
      <c r="V71" s="22" t="n">
        <v>0.1</v>
      </c>
      <c r="W71" s="22" t="n">
        <v>0.1</v>
      </c>
      <c r="X71" s="22" t="n">
        <v>0.05</v>
      </c>
      <c r="Y71" s="22" t="n">
        <v>0.3</v>
      </c>
      <c r="Z71" s="22" t="n">
        <v>0.1</v>
      </c>
      <c r="AA71" s="22" t="n">
        <v>60</v>
      </c>
      <c r="AB71" s="22" t="n">
        <v>0</v>
      </c>
      <c r="AC71" s="23" t="s">
        <v>222</v>
      </c>
      <c r="AD71" s="23" t="s">
        <v>238</v>
      </c>
      <c r="AE71" s="23" t="s">
        <v>224</v>
      </c>
      <c r="AF71" s="23" t="s">
        <v>176</v>
      </c>
      <c r="AG71" s="23"/>
      <c r="AH71" s="23"/>
      <c r="AI71" s="23"/>
      <c r="AJ71" s="13" t="n">
        <v>0</v>
      </c>
      <c r="AK71" s="13" t="n">
        <v>0</v>
      </c>
      <c r="AL71" s="13" t="n">
        <v>0</v>
      </c>
      <c r="AM71" s="13" t="n">
        <v>0</v>
      </c>
      <c r="AN71" s="13" t="n">
        <v>0</v>
      </c>
      <c r="AO71" s="13" t="n">
        <v>0</v>
      </c>
      <c r="AP71" s="13" t="n">
        <v>0</v>
      </c>
      <c r="AQ71" s="13" t="n">
        <v>0</v>
      </c>
      <c r="AR71" s="13" t="n">
        <v>0</v>
      </c>
      <c r="AS71" s="13" t="n">
        <v>0</v>
      </c>
      <c r="AT71" s="13" t="n">
        <v>0</v>
      </c>
      <c r="AU71" s="13" t="n">
        <v>0</v>
      </c>
      <c r="AV71" s="13" t="n">
        <v>0</v>
      </c>
      <c r="AW71" s="13" t="n">
        <v>0</v>
      </c>
      <c r="AX71" s="13" t="n">
        <v>0</v>
      </c>
      <c r="AY71" s="13" t="n">
        <v>1</v>
      </c>
      <c r="AZ71" s="13" t="n">
        <v>1</v>
      </c>
      <c r="BA71" s="23" t="str">
        <f aca="false">_xlfn.TEXTJOIN(", ",TRUE(),IF(AJ71=1,"glutine",IF(AJ71=2,"glutine (tracce)","")),IF(AK71=1,"latte",IF(AK71=2,"latte (tracce)","")),IF(AL71=1,"lattosio",IF(AL71=2,"lattosio (tracce)","")),IF(AM71=1,"uova",IF(AM71=2,"uova (tracce)","")),IF(AN71=1,"pesce",IF(AN71=2,"pesce (tracce)","")),IF(AO71=1,"crostacei",IF(AO71=2,"crostacei (tracce)","")),IF(AP71=1,"molluschi",IF(AP71=2,"molluschi (tracce)","")),IF(AQ71=1,"frutta a guscio",IF(AQ71=2,"frutta a guscio (tracce)","")),IF(AR71=1,"arachidi",IF(AR71=2,"arachidi (tracce)","")),IF(AS71=1,"soia",IF(AS71=2,"soia (tracce)","")),IF(AT71=1,"sesamo",IF(AT71=2,"sesamo (tracce)","")),IF(AU71=1,"sedano",IF(AU71=2,"sedano (tracce)","")),IF(AV71=1,"senape",IF(AV71=2,"senape (tracce)","")),IF(AW71=1,"solfiti",IF(AW71=2,"solfiti (tracce)","")),IF(AX71=1,"lupini",IF(AX71=2,"lupini (tracce)","")),IF(AY71=1,"nichel",IF(AY71=2,"nichel (tracce)","")),IF(AZ71=1,"FODMAP",IF(AZ71=2,"FODMAP (tracce)","")))</f>
        <v>nichel, FODMAP</v>
      </c>
      <c r="BB71" s="23" t="n">
        <f aca="false">ROUND(4*C71+4*D71+9*E71+2*N(F71),0)</f>
        <v>95</v>
      </c>
      <c r="BC71" s="23" t="s">
        <v>78</v>
      </c>
      <c r="BD71" s="23"/>
    </row>
    <row r="72" customFormat="false" ht="15" hidden="false" customHeight="false" outlineLevel="0" collapsed="false">
      <c r="A72" s="19" t="s">
        <v>239</v>
      </c>
      <c r="B72" s="20" t="n">
        <v>77</v>
      </c>
      <c r="C72" s="21" t="n">
        <v>9.1</v>
      </c>
      <c r="D72" s="21" t="n">
        <v>5.2</v>
      </c>
      <c r="E72" s="21" t="n">
        <v>0.4</v>
      </c>
      <c r="F72" s="22" t="n">
        <v>4.5</v>
      </c>
      <c r="G72" s="22" t="n">
        <v>4.6</v>
      </c>
      <c r="H72" s="22" t="n">
        <v>0.07</v>
      </c>
      <c r="I72" s="22" t="n">
        <v>0.04</v>
      </c>
      <c r="J72" s="22" t="n">
        <v>0.19</v>
      </c>
      <c r="K72" s="22" t="n">
        <v>0</v>
      </c>
      <c r="L72" s="22" t="n">
        <v>108</v>
      </c>
      <c r="M72" s="22" t="n">
        <v>153</v>
      </c>
      <c r="N72" s="22" t="n">
        <v>22</v>
      </c>
      <c r="O72" s="22" t="n">
        <v>77</v>
      </c>
      <c r="P72" s="22" t="n">
        <v>22</v>
      </c>
      <c r="Q72" s="22" t="n">
        <v>1.52</v>
      </c>
      <c r="R72" s="22" t="n">
        <v>0.74</v>
      </c>
      <c r="S72" s="22" t="n">
        <v>104</v>
      </c>
      <c r="T72" s="22" t="n">
        <v>18</v>
      </c>
      <c r="U72" s="22" t="n">
        <v>0</v>
      </c>
      <c r="V72" s="22" t="n">
        <v>0.2</v>
      </c>
      <c r="W72" s="22" t="n">
        <v>0.26</v>
      </c>
      <c r="X72" s="22" t="n">
        <v>0.1</v>
      </c>
      <c r="Y72" s="22" t="n">
        <v>2</v>
      </c>
      <c r="Z72" s="22" t="n">
        <v>0.11</v>
      </c>
      <c r="AA72" s="22" t="n">
        <v>53</v>
      </c>
      <c r="AB72" s="22" t="n">
        <v>0</v>
      </c>
      <c r="AC72" s="23" t="s">
        <v>222</v>
      </c>
      <c r="AD72" s="23" t="s">
        <v>240</v>
      </c>
      <c r="AE72" s="23" t="s">
        <v>224</v>
      </c>
      <c r="AF72" s="23" t="s">
        <v>69</v>
      </c>
      <c r="AG72" s="23"/>
      <c r="AH72" s="23"/>
      <c r="AI72" s="23"/>
      <c r="AJ72" s="13" t="n">
        <v>0</v>
      </c>
      <c r="AK72" s="13" t="n">
        <v>0</v>
      </c>
      <c r="AL72" s="13" t="n">
        <v>0</v>
      </c>
      <c r="AM72" s="13" t="n">
        <v>0</v>
      </c>
      <c r="AN72" s="13" t="n">
        <v>0</v>
      </c>
      <c r="AO72" s="13" t="n">
        <v>0</v>
      </c>
      <c r="AP72" s="13" t="n">
        <v>0</v>
      </c>
      <c r="AQ72" s="13" t="n">
        <v>0</v>
      </c>
      <c r="AR72" s="13" t="n">
        <v>0</v>
      </c>
      <c r="AS72" s="13" t="n">
        <v>0</v>
      </c>
      <c r="AT72" s="13" t="n">
        <v>0</v>
      </c>
      <c r="AU72" s="13" t="n">
        <v>0</v>
      </c>
      <c r="AV72" s="13" t="n">
        <v>0</v>
      </c>
      <c r="AW72" s="13" t="n">
        <v>0</v>
      </c>
      <c r="AX72" s="13" t="n">
        <v>0</v>
      </c>
      <c r="AY72" s="13" t="n">
        <v>1</v>
      </c>
      <c r="AZ72" s="13" t="n">
        <v>1</v>
      </c>
      <c r="BA72" s="23" t="str">
        <f aca="false">_xlfn.TEXTJOIN(", ",TRUE(),IF(AJ72=1,"glutine",IF(AJ72=2,"glutine (tracce)","")),IF(AK72=1,"latte",IF(AK72=2,"latte (tracce)","")),IF(AL72=1,"lattosio",IF(AL72=2,"lattosio (tracce)","")),IF(AM72=1,"uova",IF(AM72=2,"uova (tracce)","")),IF(AN72=1,"pesce",IF(AN72=2,"pesce (tracce)","")),IF(AO72=1,"crostacei",IF(AO72=2,"crostacei (tracce)","")),IF(AP72=1,"molluschi",IF(AP72=2,"molluschi (tracce)","")),IF(AQ72=1,"frutta a guscio",IF(AQ72=2,"frutta a guscio (tracce)","")),IF(AR72=1,"arachidi",IF(AR72=2,"arachidi (tracce)","")),IF(AS72=1,"soia",IF(AS72=2,"soia (tracce)","")),IF(AT72=1,"sesamo",IF(AT72=2,"sesamo (tracce)","")),IF(AU72=1,"sedano",IF(AU72=2,"sedano (tracce)","")),IF(AV72=1,"senape",IF(AV72=2,"senape (tracce)","")),IF(AW72=1,"solfiti",IF(AW72=2,"solfiti (tracce)","")),IF(AX72=1,"lupini",IF(AX72=2,"lupini (tracce)","")),IF(AY72=1,"nichel",IF(AY72=2,"nichel (tracce)","")),IF(AZ72=1,"FODMAP",IF(AZ72=2,"FODMAP (tracce)","")))</f>
        <v>nichel, FODMAP</v>
      </c>
      <c r="BB72" s="23" t="n">
        <f aca="false">ROUND(4*C72+4*D72+9*E72+2*N(F72),0)</f>
        <v>70</v>
      </c>
      <c r="BC72" s="23" t="s">
        <v>70</v>
      </c>
      <c r="BD72" s="23"/>
    </row>
    <row r="73" customFormat="false" ht="15" hidden="false" customHeight="false" outlineLevel="0" collapsed="false">
      <c r="A73" s="2" t="s">
        <v>241</v>
      </c>
      <c r="B73" s="3" t="n">
        <v>357</v>
      </c>
      <c r="C73" s="4" t="n">
        <v>71.2</v>
      </c>
      <c r="D73" s="4" t="n">
        <v>12.8</v>
      </c>
      <c r="E73" s="4" t="n">
        <v>1.5</v>
      </c>
      <c r="F73" s="5" t="n">
        <v>3</v>
      </c>
      <c r="G73" s="5" t="n">
        <v>3</v>
      </c>
      <c r="H73" s="5" t="n">
        <v>0.28</v>
      </c>
      <c r="I73" s="5" t="n">
        <v>0.17</v>
      </c>
      <c r="J73" s="5" t="n">
        <v>0.56</v>
      </c>
      <c r="K73" s="5" t="n">
        <v>0</v>
      </c>
      <c r="L73" s="5" t="n">
        <v>6</v>
      </c>
      <c r="M73" s="5" t="n">
        <v>223</v>
      </c>
      <c r="N73" s="5" t="n">
        <v>21</v>
      </c>
      <c r="O73" s="5" t="n">
        <v>189</v>
      </c>
      <c r="P73" s="5" t="n">
        <v>53</v>
      </c>
      <c r="Q73" s="5" t="n">
        <v>1.3</v>
      </c>
      <c r="R73" s="5" t="n">
        <v>1.41</v>
      </c>
      <c r="S73" s="5" t="n">
        <v>0</v>
      </c>
      <c r="T73" s="5" t="n">
        <v>0</v>
      </c>
      <c r="U73" s="5" t="n">
        <v>0</v>
      </c>
      <c r="V73" s="5" t="n">
        <v>0.11</v>
      </c>
      <c r="W73" s="5" t="n">
        <v>0.09</v>
      </c>
      <c r="X73" s="5" t="n">
        <v>0.06</v>
      </c>
      <c r="Y73" s="5" t="n">
        <v>1.7</v>
      </c>
      <c r="Z73" s="5" t="n">
        <v>0.14</v>
      </c>
      <c r="AA73" s="5" t="n">
        <v>18</v>
      </c>
      <c r="AB73" s="5" t="n">
        <v>0</v>
      </c>
      <c r="AC73" s="6" t="s">
        <v>242</v>
      </c>
      <c r="AD73" s="6" t="s">
        <v>243</v>
      </c>
      <c r="AE73" s="6" t="s">
        <v>224</v>
      </c>
      <c r="AF73" s="6" t="s">
        <v>215</v>
      </c>
      <c r="AG73" s="6"/>
      <c r="AH73" s="6"/>
      <c r="AI73" s="6"/>
      <c r="AJ73" s="7" t="n">
        <v>1</v>
      </c>
      <c r="AK73" s="7" t="n">
        <v>0</v>
      </c>
      <c r="AL73" s="7" t="n">
        <v>0</v>
      </c>
      <c r="AM73" s="7" t="n">
        <v>0</v>
      </c>
      <c r="AN73" s="7" t="n">
        <v>0</v>
      </c>
      <c r="AO73" s="7" t="n">
        <v>0</v>
      </c>
      <c r="AP73" s="7" t="n">
        <v>0</v>
      </c>
      <c r="AQ73" s="7" t="n">
        <v>0</v>
      </c>
      <c r="AR73" s="7" t="n">
        <v>0</v>
      </c>
      <c r="AS73" s="7" t="n">
        <v>0</v>
      </c>
      <c r="AT73" s="7" t="n">
        <v>0</v>
      </c>
      <c r="AU73" s="7" t="n">
        <v>0</v>
      </c>
      <c r="AV73" s="7" t="n">
        <v>0</v>
      </c>
      <c r="AW73" s="7" t="n">
        <v>0</v>
      </c>
      <c r="AX73" s="7" t="n">
        <v>0</v>
      </c>
      <c r="AY73" s="7" t="n">
        <v>0</v>
      </c>
      <c r="AZ73" s="7" t="n">
        <v>1</v>
      </c>
      <c r="BA73" s="6" t="str">
        <f aca="false">_xlfn.TEXTJOIN(", ",TRUE(),IF(AJ73=1,"glutine",IF(AJ73=2,"glutine (tracce)","")),IF(AK73=1,"latte",IF(AK73=2,"latte (tracce)","")),IF(AL73=1,"lattosio",IF(AL73=2,"lattosio (tracce)","")),IF(AM73=1,"uova",IF(AM73=2,"uova (tracce)","")),IF(AN73=1,"pesce",IF(AN73=2,"pesce (tracce)","")),IF(AO73=1,"crostacei",IF(AO73=2,"crostacei (tracce)","")),IF(AP73=1,"molluschi",IF(AP73=2,"molluschi (tracce)","")),IF(AQ73=1,"frutta a guscio",IF(AQ73=2,"frutta a guscio (tracce)","")),IF(AR73=1,"arachidi",IF(AR73=2,"arachidi (tracce)","")),IF(AS73=1,"soia",IF(AS73=2,"soia (tracce)","")),IF(AT73=1,"sesamo",IF(AT73=2,"sesamo (tracce)","")),IF(AU73=1,"sedano",IF(AU73=2,"sedano (tracce)","")),IF(AV73=1,"senape",IF(AV73=2,"senape (tracce)","")),IF(AW73=1,"solfiti",IF(AW73=2,"solfiti (tracce)","")),IF(AX73=1,"lupini",IF(AX73=2,"lupini (tracce)","")),IF(AY73=1,"nichel",IF(AY73=2,"nichel (tracce)","")),IF(AZ73=1,"FODMAP",IF(AZ73=2,"FODMAP (tracce)","")))</f>
        <v>glutine, FODMAP</v>
      </c>
      <c r="BB73" s="6" t="n">
        <f aca="false">ROUND(4*C73+4*D73+9*E73+2*N(F73),0)</f>
        <v>356</v>
      </c>
      <c r="BC73" s="6" t="s">
        <v>171</v>
      </c>
      <c r="BD73" s="6"/>
    </row>
    <row r="74" customFormat="false" ht="15" hidden="false" customHeight="false" outlineLevel="0" collapsed="false">
      <c r="A74" s="8" t="s">
        <v>244</v>
      </c>
      <c r="B74" s="9" t="n">
        <v>350</v>
      </c>
      <c r="C74" s="10" t="n">
        <v>64</v>
      </c>
      <c r="D74" s="10" t="n">
        <v>13.5</v>
      </c>
      <c r="E74" s="10" t="n">
        <v>2.5</v>
      </c>
      <c r="F74" s="11" t="n">
        <v>8</v>
      </c>
      <c r="G74" s="11" t="n">
        <v>3</v>
      </c>
      <c r="H74" s="11" t="n">
        <v>0.4</v>
      </c>
      <c r="I74" s="11" t="n">
        <v>0.3</v>
      </c>
      <c r="J74" s="11" t="n">
        <v>0.9</v>
      </c>
      <c r="K74" s="11" t="n">
        <v>0</v>
      </c>
      <c r="L74" s="11" t="n">
        <v>8</v>
      </c>
      <c r="M74" s="11" t="n">
        <v>215</v>
      </c>
      <c r="N74" s="11" t="n">
        <v>40</v>
      </c>
      <c r="O74" s="11" t="n">
        <v>258</v>
      </c>
      <c r="P74" s="11" t="n">
        <v>143</v>
      </c>
      <c r="Q74" s="11" t="n">
        <v>3.6</v>
      </c>
      <c r="R74" s="11" t="n">
        <v>2.37</v>
      </c>
      <c r="S74" s="11" t="n">
        <v>0</v>
      </c>
      <c r="T74" s="11" t="n">
        <v>0</v>
      </c>
      <c r="U74" s="11" t="n">
        <v>0</v>
      </c>
      <c r="V74" s="11" t="n">
        <v>0.6</v>
      </c>
      <c r="W74" s="11" t="n">
        <v>0.4</v>
      </c>
      <c r="X74" s="11" t="n">
        <v>0.1</v>
      </c>
      <c r="Y74" s="11" t="n">
        <v>4.5</v>
      </c>
      <c r="Z74" s="11" t="n">
        <v>0.2</v>
      </c>
      <c r="AA74" s="11" t="n">
        <v>44</v>
      </c>
      <c r="AB74" s="11" t="n">
        <v>0</v>
      </c>
      <c r="AC74" s="12" t="s">
        <v>242</v>
      </c>
      <c r="AD74" s="12" t="s">
        <v>245</v>
      </c>
      <c r="AE74" s="12" t="s">
        <v>224</v>
      </c>
      <c r="AF74" s="12" t="s">
        <v>215</v>
      </c>
      <c r="AG74" s="12"/>
      <c r="AH74" s="12"/>
      <c r="AI74" s="12"/>
      <c r="AJ74" s="13" t="n">
        <v>1</v>
      </c>
      <c r="AK74" s="13" t="n">
        <v>0</v>
      </c>
      <c r="AL74" s="13" t="n">
        <v>0</v>
      </c>
      <c r="AM74" s="13" t="n">
        <v>0</v>
      </c>
      <c r="AN74" s="13" t="n">
        <v>0</v>
      </c>
      <c r="AO74" s="13" t="n">
        <v>0</v>
      </c>
      <c r="AP74" s="13" t="n">
        <v>0</v>
      </c>
      <c r="AQ74" s="13" t="n">
        <v>0</v>
      </c>
      <c r="AR74" s="13" t="n">
        <v>0</v>
      </c>
      <c r="AS74" s="13" t="n">
        <v>0</v>
      </c>
      <c r="AT74" s="13" t="n">
        <v>0</v>
      </c>
      <c r="AU74" s="13" t="n">
        <v>0</v>
      </c>
      <c r="AV74" s="13" t="n">
        <v>0</v>
      </c>
      <c r="AW74" s="13" t="n">
        <v>0</v>
      </c>
      <c r="AX74" s="13" t="n">
        <v>0</v>
      </c>
      <c r="AY74" s="13" t="n">
        <v>1</v>
      </c>
      <c r="AZ74" s="13" t="n">
        <v>1</v>
      </c>
      <c r="BA74" s="12" t="str">
        <f aca="false">_xlfn.TEXTJOIN(", ",TRUE(),IF(AJ74=1,"glutine",IF(AJ74=2,"glutine (tracce)","")),IF(AK74=1,"latte",IF(AK74=2,"latte (tracce)","")),IF(AL74=1,"lattosio",IF(AL74=2,"lattosio (tracce)","")),IF(AM74=1,"uova",IF(AM74=2,"uova (tracce)","")),IF(AN74=1,"pesce",IF(AN74=2,"pesce (tracce)","")),IF(AO74=1,"crostacei",IF(AO74=2,"crostacei (tracce)","")),IF(AP74=1,"molluschi",IF(AP74=2,"molluschi (tracce)","")),IF(AQ74=1,"frutta a guscio",IF(AQ74=2,"frutta a guscio (tracce)","")),IF(AR74=1,"arachidi",IF(AR74=2,"arachidi (tracce)","")),IF(AS74=1,"soia",IF(AS74=2,"soia (tracce)","")),IF(AT74=1,"sesamo",IF(AT74=2,"sesamo (tracce)","")),IF(AU74=1,"sedano",IF(AU74=2,"sedano (tracce)","")),IF(AV74=1,"senape",IF(AV74=2,"senape (tracce)","")),IF(AW74=1,"solfiti",IF(AW74=2,"solfiti (tracce)","")),IF(AX74=1,"lupini",IF(AX74=2,"lupini (tracce)","")),IF(AY74=1,"nichel",IF(AY74=2,"nichel (tracce)","")),IF(AZ74=1,"FODMAP",IF(AZ74=2,"FODMAP (tracce)","")))</f>
        <v>glutine, nichel, FODMAP</v>
      </c>
      <c r="BB74" s="12" t="n">
        <f aca="false">ROUND(4*C74+4*D74+9*E74+2*N(F74),0)</f>
        <v>349</v>
      </c>
      <c r="BC74" s="12" t="s">
        <v>171</v>
      </c>
      <c r="BD74" s="12"/>
    </row>
    <row r="75" customFormat="false" ht="15" hidden="false" customHeight="false" outlineLevel="0" collapsed="false">
      <c r="A75" s="8" t="s">
        <v>246</v>
      </c>
      <c r="B75" s="9" t="n">
        <v>365</v>
      </c>
      <c r="C75" s="10" t="n">
        <v>78.9</v>
      </c>
      <c r="D75" s="10" t="n">
        <v>7.1</v>
      </c>
      <c r="E75" s="10" t="n">
        <v>0.7</v>
      </c>
      <c r="F75" s="11" t="n">
        <v>1.3</v>
      </c>
      <c r="G75" s="11" t="n">
        <v>0.12</v>
      </c>
      <c r="H75" s="11" t="n">
        <v>0.18</v>
      </c>
      <c r="I75" s="11" t="n">
        <v>0.21</v>
      </c>
      <c r="J75" s="11" t="n">
        <v>0.18</v>
      </c>
      <c r="K75" s="11" t="n">
        <v>0</v>
      </c>
      <c r="L75" s="11" t="n">
        <v>5</v>
      </c>
      <c r="M75" s="11" t="n">
        <v>115</v>
      </c>
      <c r="N75" s="11" t="n">
        <v>28</v>
      </c>
      <c r="O75" s="11" t="n">
        <v>115</v>
      </c>
      <c r="P75" s="11" t="n">
        <v>25</v>
      </c>
      <c r="Q75" s="11" t="n">
        <v>0.8</v>
      </c>
      <c r="R75" s="11" t="n">
        <v>1.09</v>
      </c>
      <c r="S75" s="11" t="n">
        <v>0</v>
      </c>
      <c r="T75" s="11" t="n">
        <v>0</v>
      </c>
      <c r="U75" s="11" t="n">
        <v>0</v>
      </c>
      <c r="V75" s="11" t="n">
        <v>0.11</v>
      </c>
      <c r="W75" s="11" t="n">
        <v>0.07</v>
      </c>
      <c r="X75" s="11" t="n">
        <v>0.05</v>
      </c>
      <c r="Y75" s="11" t="n">
        <v>1.6</v>
      </c>
      <c r="Z75" s="11" t="n">
        <v>0.16</v>
      </c>
      <c r="AA75" s="11" t="n">
        <v>8</v>
      </c>
      <c r="AB75" s="11" t="n">
        <v>0</v>
      </c>
      <c r="AC75" s="12" t="s">
        <v>242</v>
      </c>
      <c r="AD75" s="12" t="s">
        <v>247</v>
      </c>
      <c r="AE75" s="12" t="s">
        <v>224</v>
      </c>
      <c r="AF75" s="12" t="s">
        <v>215</v>
      </c>
      <c r="AG75" s="12"/>
      <c r="AH75" s="12"/>
      <c r="AI75" s="12"/>
      <c r="AJ75" s="13" t="n">
        <v>0</v>
      </c>
      <c r="AK75" s="13" t="n">
        <v>0</v>
      </c>
      <c r="AL75" s="13" t="n">
        <v>0</v>
      </c>
      <c r="AM75" s="13" t="n">
        <v>0</v>
      </c>
      <c r="AN75" s="13" t="n">
        <v>0</v>
      </c>
      <c r="AO75" s="13" t="n">
        <v>0</v>
      </c>
      <c r="AP75" s="13" t="n">
        <v>0</v>
      </c>
      <c r="AQ75" s="13" t="n">
        <v>0</v>
      </c>
      <c r="AR75" s="13" t="n">
        <v>0</v>
      </c>
      <c r="AS75" s="13" t="n">
        <v>0</v>
      </c>
      <c r="AT75" s="13" t="n">
        <v>0</v>
      </c>
      <c r="AU75" s="13" t="n">
        <v>0</v>
      </c>
      <c r="AV75" s="13" t="n">
        <v>0</v>
      </c>
      <c r="AW75" s="13" t="n">
        <v>0</v>
      </c>
      <c r="AX75" s="13" t="n">
        <v>0</v>
      </c>
      <c r="AY75" s="13" t="n">
        <v>0</v>
      </c>
      <c r="AZ75" s="13" t="n">
        <v>0</v>
      </c>
      <c r="BA75" s="12" t="str">
        <f aca="false">_xlfn.TEXTJOIN(", ",TRUE(),IF(AJ75=1,"glutine",IF(AJ75=2,"glutine (tracce)","")),IF(AK75=1,"latte",IF(AK75=2,"latte (tracce)","")),IF(AL75=1,"lattosio",IF(AL75=2,"lattosio (tracce)","")),IF(AM75=1,"uova",IF(AM75=2,"uova (tracce)","")),IF(AN75=1,"pesce",IF(AN75=2,"pesce (tracce)","")),IF(AO75=1,"crostacei",IF(AO75=2,"crostacei (tracce)","")),IF(AP75=1,"molluschi",IF(AP75=2,"molluschi (tracce)","")),IF(AQ75=1,"frutta a guscio",IF(AQ75=2,"frutta a guscio (tracce)","")),IF(AR75=1,"arachidi",IF(AR75=2,"arachidi (tracce)","")),IF(AS75=1,"soia",IF(AS75=2,"soia (tracce)","")),IF(AT75=1,"sesamo",IF(AT75=2,"sesamo (tracce)","")),IF(AU75=1,"sedano",IF(AU75=2,"sedano (tracce)","")),IF(AV75=1,"senape",IF(AV75=2,"senape (tracce)","")),IF(AW75=1,"solfiti",IF(AW75=2,"solfiti (tracce)","")),IF(AX75=1,"lupini",IF(AX75=2,"lupini (tracce)","")),IF(AY75=1,"nichel",IF(AY75=2,"nichel (tracce)","")),IF(AZ75=1,"FODMAP",IF(AZ75=2,"FODMAP (tracce)","")))</f>
        <v/>
      </c>
      <c r="BB75" s="12" t="n">
        <f aca="false">ROUND(4*C75+4*D75+9*E75+2*N(F75),0)</f>
        <v>353</v>
      </c>
      <c r="BC75" s="12" t="s">
        <v>70</v>
      </c>
      <c r="BD75" s="12"/>
    </row>
    <row r="76" customFormat="false" ht="15" hidden="false" customHeight="false" outlineLevel="0" collapsed="false">
      <c r="A76" s="8" t="s">
        <v>248</v>
      </c>
      <c r="B76" s="9" t="n">
        <v>356</v>
      </c>
      <c r="C76" s="10" t="n">
        <v>78</v>
      </c>
      <c r="D76" s="10" t="n">
        <v>8</v>
      </c>
      <c r="E76" s="10" t="n">
        <v>0.6</v>
      </c>
      <c r="F76" s="11" t="n">
        <v>1</v>
      </c>
      <c r="G76" s="11" t="n">
        <v>0.1</v>
      </c>
      <c r="H76" s="11" t="n">
        <v>0.15</v>
      </c>
      <c r="I76" s="11" t="n">
        <v>0.2</v>
      </c>
      <c r="J76" s="11" t="n">
        <v>0.2</v>
      </c>
      <c r="K76" s="11" t="n">
        <v>0</v>
      </c>
      <c r="L76" s="11" t="n">
        <v>2</v>
      </c>
      <c r="M76" s="11" t="n">
        <v>115</v>
      </c>
      <c r="N76" s="11" t="n">
        <v>20</v>
      </c>
      <c r="O76" s="11" t="n">
        <v>110</v>
      </c>
      <c r="P76" s="11" t="n">
        <v>25</v>
      </c>
      <c r="Q76" s="11" t="n">
        <v>0.8</v>
      </c>
      <c r="R76" s="11" t="n">
        <v>1.1</v>
      </c>
      <c r="S76" s="11" t="n">
        <v>0</v>
      </c>
      <c r="T76" s="11" t="n">
        <v>0</v>
      </c>
      <c r="U76" s="11" t="n">
        <v>0</v>
      </c>
      <c r="V76" s="11" t="n">
        <v>0.1</v>
      </c>
      <c r="W76" s="11" t="n">
        <v>0.07</v>
      </c>
      <c r="X76" s="11" t="n">
        <v>0.05</v>
      </c>
      <c r="Y76" s="11" t="n">
        <v>1.6</v>
      </c>
      <c r="Z76" s="11" t="n">
        <v>0.16</v>
      </c>
      <c r="AA76" s="11" t="n">
        <v>8</v>
      </c>
      <c r="AB76" s="11" t="n">
        <v>0</v>
      </c>
      <c r="AC76" s="12" t="s">
        <v>242</v>
      </c>
      <c r="AD76" s="12" t="s">
        <v>249</v>
      </c>
      <c r="AE76" s="12" t="s">
        <v>224</v>
      </c>
      <c r="AF76" s="12" t="s">
        <v>215</v>
      </c>
      <c r="AG76" s="12"/>
      <c r="AH76" s="12"/>
      <c r="AI76" s="12"/>
      <c r="AJ76" s="13" t="n">
        <v>0</v>
      </c>
      <c r="AK76" s="13" t="n">
        <v>0</v>
      </c>
      <c r="AL76" s="13" t="n">
        <v>0</v>
      </c>
      <c r="AM76" s="13" t="n">
        <v>0</v>
      </c>
      <c r="AN76" s="13" t="n">
        <v>0</v>
      </c>
      <c r="AO76" s="13" t="n">
        <v>0</v>
      </c>
      <c r="AP76" s="13" t="n">
        <v>0</v>
      </c>
      <c r="AQ76" s="13" t="n">
        <v>0</v>
      </c>
      <c r="AR76" s="13" t="n">
        <v>0</v>
      </c>
      <c r="AS76" s="13" t="n">
        <v>0</v>
      </c>
      <c r="AT76" s="13" t="n">
        <v>0</v>
      </c>
      <c r="AU76" s="13" t="n">
        <v>0</v>
      </c>
      <c r="AV76" s="13" t="n">
        <v>0</v>
      </c>
      <c r="AW76" s="13" t="n">
        <v>0</v>
      </c>
      <c r="AX76" s="13" t="n">
        <v>0</v>
      </c>
      <c r="AY76" s="13" t="n">
        <v>0</v>
      </c>
      <c r="AZ76" s="13" t="n">
        <v>0</v>
      </c>
      <c r="BA76" s="12" t="str">
        <f aca="false">_xlfn.TEXTJOIN(", ",TRUE(),IF(AJ76=1,"glutine",IF(AJ76=2,"glutine (tracce)","")),IF(AK76=1,"latte",IF(AK76=2,"latte (tracce)","")),IF(AL76=1,"lattosio",IF(AL76=2,"lattosio (tracce)","")),IF(AM76=1,"uova",IF(AM76=2,"uova (tracce)","")),IF(AN76=1,"pesce",IF(AN76=2,"pesce (tracce)","")),IF(AO76=1,"crostacei",IF(AO76=2,"crostacei (tracce)","")),IF(AP76=1,"molluschi",IF(AP76=2,"molluschi (tracce)","")),IF(AQ76=1,"frutta a guscio",IF(AQ76=2,"frutta a guscio (tracce)","")),IF(AR76=1,"arachidi",IF(AR76=2,"arachidi (tracce)","")),IF(AS76=1,"soia",IF(AS76=2,"soia (tracce)","")),IF(AT76=1,"sesamo",IF(AT76=2,"sesamo (tracce)","")),IF(AU76=1,"sedano",IF(AU76=2,"sedano (tracce)","")),IF(AV76=1,"senape",IF(AV76=2,"senape (tracce)","")),IF(AW76=1,"solfiti",IF(AW76=2,"solfiti (tracce)","")),IF(AX76=1,"lupini",IF(AX76=2,"lupini (tracce)","")),IF(AY76=1,"nichel",IF(AY76=2,"nichel (tracce)","")),IF(AZ76=1,"FODMAP",IF(AZ76=2,"FODMAP (tracce)","")))</f>
        <v/>
      </c>
      <c r="BB76" s="12" t="n">
        <f aca="false">ROUND(4*C76+4*D76+9*E76+2*N(F76),0)</f>
        <v>351</v>
      </c>
      <c r="BC76" s="12" t="s">
        <v>171</v>
      </c>
      <c r="BD76" s="12"/>
    </row>
    <row r="77" customFormat="false" ht="15" hidden="false" customHeight="false" outlineLevel="0" collapsed="false">
      <c r="A77" s="8" t="s">
        <v>250</v>
      </c>
      <c r="B77" s="9" t="n">
        <v>367</v>
      </c>
      <c r="C77" s="10" t="n">
        <v>72.8</v>
      </c>
      <c r="D77" s="10" t="n">
        <v>7.5</v>
      </c>
      <c r="E77" s="10" t="n">
        <v>3.2</v>
      </c>
      <c r="F77" s="11" t="n">
        <v>3.5</v>
      </c>
      <c r="G77" s="11" t="n">
        <v>0.85</v>
      </c>
      <c r="H77" s="11" t="n">
        <v>0.64</v>
      </c>
      <c r="I77" s="11" t="n">
        <v>1.17</v>
      </c>
      <c r="J77" s="11" t="n">
        <v>1.15</v>
      </c>
      <c r="K77" s="11" t="n">
        <v>0</v>
      </c>
      <c r="L77" s="11" t="n">
        <v>7</v>
      </c>
      <c r="M77" s="11" t="n">
        <v>250</v>
      </c>
      <c r="N77" s="11" t="n">
        <v>9</v>
      </c>
      <c r="O77" s="11" t="n">
        <v>264</v>
      </c>
      <c r="P77" s="11" t="n">
        <v>116</v>
      </c>
      <c r="Q77" s="11" t="n">
        <v>1.29</v>
      </c>
      <c r="R77" s="11" t="n">
        <v>2.13</v>
      </c>
      <c r="S77" s="11" t="n">
        <v>0</v>
      </c>
      <c r="T77" s="11" t="n">
        <v>0</v>
      </c>
      <c r="U77" s="11" t="n">
        <v>0</v>
      </c>
      <c r="V77" s="11" t="n">
        <v>1.2</v>
      </c>
      <c r="W77" s="11" t="n">
        <v>0.41</v>
      </c>
      <c r="X77" s="11" t="n">
        <v>0.04</v>
      </c>
      <c r="Y77" s="11" t="n">
        <v>4.31</v>
      </c>
      <c r="Z77" s="11" t="n">
        <v>0.48</v>
      </c>
      <c r="AA77" s="11" t="n">
        <v>20</v>
      </c>
      <c r="AB77" s="11" t="n">
        <v>0</v>
      </c>
      <c r="AC77" s="12" t="s">
        <v>242</v>
      </c>
      <c r="AD77" s="12" t="s">
        <v>251</v>
      </c>
      <c r="AE77" s="12" t="s">
        <v>224</v>
      </c>
      <c r="AF77" s="12" t="s">
        <v>215</v>
      </c>
      <c r="AG77" s="12"/>
      <c r="AH77" s="12"/>
      <c r="AI77" s="12"/>
      <c r="AJ77" s="13" t="n">
        <v>0</v>
      </c>
      <c r="AK77" s="13" t="n">
        <v>0</v>
      </c>
      <c r="AL77" s="13" t="n">
        <v>0</v>
      </c>
      <c r="AM77" s="13" t="n">
        <v>0</v>
      </c>
      <c r="AN77" s="13" t="n">
        <v>0</v>
      </c>
      <c r="AO77" s="13" t="n">
        <v>0</v>
      </c>
      <c r="AP77" s="13" t="n">
        <v>0</v>
      </c>
      <c r="AQ77" s="13" t="n">
        <v>0</v>
      </c>
      <c r="AR77" s="13" t="n">
        <v>0</v>
      </c>
      <c r="AS77" s="13" t="n">
        <v>0</v>
      </c>
      <c r="AT77" s="13" t="n">
        <v>0</v>
      </c>
      <c r="AU77" s="13" t="n">
        <v>0</v>
      </c>
      <c r="AV77" s="13" t="n">
        <v>0</v>
      </c>
      <c r="AW77" s="13" t="n">
        <v>0</v>
      </c>
      <c r="AX77" s="13" t="n">
        <v>0</v>
      </c>
      <c r="AY77" s="13" t="n">
        <v>1</v>
      </c>
      <c r="AZ77" s="13" t="n">
        <v>0</v>
      </c>
      <c r="BA77" s="12" t="str">
        <f aca="false">_xlfn.TEXTJOIN(", ",TRUE(),IF(AJ77=1,"glutine",IF(AJ77=2,"glutine (tracce)","")),IF(AK77=1,"latte",IF(AK77=2,"latte (tracce)","")),IF(AL77=1,"lattosio",IF(AL77=2,"lattosio (tracce)","")),IF(AM77=1,"uova",IF(AM77=2,"uova (tracce)","")),IF(AN77=1,"pesce",IF(AN77=2,"pesce (tracce)","")),IF(AO77=1,"crostacei",IF(AO77=2,"crostacei (tracce)","")),IF(AP77=1,"molluschi",IF(AP77=2,"molluschi (tracce)","")),IF(AQ77=1,"frutta a guscio",IF(AQ77=2,"frutta a guscio (tracce)","")),IF(AR77=1,"arachidi",IF(AR77=2,"arachidi (tracce)","")),IF(AS77=1,"soia",IF(AS77=2,"soia (tracce)","")),IF(AT77=1,"sesamo",IF(AT77=2,"sesamo (tracce)","")),IF(AU77=1,"sedano",IF(AU77=2,"sedano (tracce)","")),IF(AV77=1,"senape",IF(AV77=2,"senape (tracce)","")),IF(AW77=1,"solfiti",IF(AW77=2,"solfiti (tracce)","")),IF(AX77=1,"lupini",IF(AX77=2,"lupini (tracce)","")),IF(AY77=1,"nichel",IF(AY77=2,"nichel (tracce)","")),IF(AZ77=1,"FODMAP",IF(AZ77=2,"FODMAP (tracce)","")))</f>
        <v>nichel</v>
      </c>
      <c r="BB77" s="12" t="n">
        <f aca="false">ROUND(4*C77+4*D77+9*E77+2*N(F77),0)</f>
        <v>357</v>
      </c>
      <c r="BC77" s="12" t="s">
        <v>70</v>
      </c>
      <c r="BD77" s="12"/>
    </row>
    <row r="78" customFormat="false" ht="15" hidden="false" customHeight="false" outlineLevel="0" collapsed="false">
      <c r="A78" s="8" t="s">
        <v>252</v>
      </c>
      <c r="B78" s="9" t="n">
        <v>376</v>
      </c>
      <c r="C78" s="10" t="n">
        <v>72.4</v>
      </c>
      <c r="D78" s="10" t="n">
        <v>12.8</v>
      </c>
      <c r="E78" s="10" t="n">
        <v>0.6</v>
      </c>
      <c r="F78" s="11" t="n">
        <v>5</v>
      </c>
      <c r="G78" s="11"/>
      <c r="H78" s="11" t="n">
        <v>0.12</v>
      </c>
      <c r="I78" s="11" t="n">
        <v>0.09</v>
      </c>
      <c r="J78" s="11" t="n">
        <v>0.25</v>
      </c>
      <c r="K78" s="11" t="n">
        <v>0</v>
      </c>
      <c r="L78" s="11" t="n">
        <v>10</v>
      </c>
      <c r="M78" s="11" t="n">
        <v>166</v>
      </c>
      <c r="N78" s="11" t="n">
        <v>24</v>
      </c>
      <c r="O78" s="11" t="n">
        <v>170</v>
      </c>
      <c r="P78" s="11" t="n">
        <v>44</v>
      </c>
      <c r="Q78" s="11" t="n">
        <v>1.08</v>
      </c>
      <c r="R78" s="11" t="n">
        <v>0.83</v>
      </c>
      <c r="S78" s="11" t="n">
        <v>0</v>
      </c>
      <c r="T78" s="11" t="n">
        <v>0</v>
      </c>
      <c r="U78" s="11" t="n">
        <v>0</v>
      </c>
      <c r="V78" s="11" t="n">
        <v>0.06</v>
      </c>
      <c r="W78" s="11" t="n">
        <v>0.16</v>
      </c>
      <c r="X78" s="11" t="n">
        <v>0.08</v>
      </c>
      <c r="Y78" s="11" t="n">
        <v>3.49</v>
      </c>
      <c r="Z78" s="11" t="n">
        <v>0.11</v>
      </c>
      <c r="AA78" s="11" t="n">
        <v>20</v>
      </c>
      <c r="AB78" s="11" t="n">
        <v>0</v>
      </c>
      <c r="AC78" s="12" t="s">
        <v>242</v>
      </c>
      <c r="AD78" s="12" t="s">
        <v>253</v>
      </c>
      <c r="AE78" s="12" t="s">
        <v>224</v>
      </c>
      <c r="AF78" s="12" t="s">
        <v>215</v>
      </c>
      <c r="AG78" s="12"/>
      <c r="AH78" s="12"/>
      <c r="AI78" s="12"/>
      <c r="AJ78" s="13" t="n">
        <v>1</v>
      </c>
      <c r="AK78" s="13" t="n">
        <v>0</v>
      </c>
      <c r="AL78" s="13" t="n">
        <v>0</v>
      </c>
      <c r="AM78" s="13" t="n">
        <v>0</v>
      </c>
      <c r="AN78" s="13" t="n">
        <v>0</v>
      </c>
      <c r="AO78" s="13" t="n">
        <v>0</v>
      </c>
      <c r="AP78" s="13" t="n">
        <v>0</v>
      </c>
      <c r="AQ78" s="13" t="n">
        <v>0</v>
      </c>
      <c r="AR78" s="13" t="n">
        <v>0</v>
      </c>
      <c r="AS78" s="13" t="n">
        <v>0</v>
      </c>
      <c r="AT78" s="13" t="n">
        <v>0</v>
      </c>
      <c r="AU78" s="13" t="n">
        <v>0</v>
      </c>
      <c r="AV78" s="13" t="n">
        <v>0</v>
      </c>
      <c r="AW78" s="13" t="n">
        <v>0</v>
      </c>
      <c r="AX78" s="13" t="n">
        <v>0</v>
      </c>
      <c r="AY78" s="13" t="n">
        <v>0</v>
      </c>
      <c r="AZ78" s="13" t="n">
        <v>1</v>
      </c>
      <c r="BA78" s="12" t="str">
        <f aca="false">_xlfn.TEXTJOIN(", ",TRUE(),IF(AJ78=1,"glutine",IF(AJ78=2,"glutine (tracce)","")),IF(AK78=1,"latte",IF(AK78=2,"latte (tracce)","")),IF(AL78=1,"lattosio",IF(AL78=2,"lattosio (tracce)","")),IF(AM78=1,"uova",IF(AM78=2,"uova (tracce)","")),IF(AN78=1,"pesce",IF(AN78=2,"pesce (tracce)","")),IF(AO78=1,"crostacei",IF(AO78=2,"crostacei (tracce)","")),IF(AP78=1,"molluschi",IF(AP78=2,"molluschi (tracce)","")),IF(AQ78=1,"frutta a guscio",IF(AQ78=2,"frutta a guscio (tracce)","")),IF(AR78=1,"arachidi",IF(AR78=2,"arachidi (tracce)","")),IF(AS78=1,"soia",IF(AS78=2,"soia (tracce)","")),IF(AT78=1,"sesamo",IF(AT78=2,"sesamo (tracce)","")),IF(AU78=1,"sedano",IF(AU78=2,"sedano (tracce)","")),IF(AV78=1,"senape",IF(AV78=2,"senape (tracce)","")),IF(AW78=1,"solfiti",IF(AW78=2,"solfiti (tracce)","")),IF(AX78=1,"lupini",IF(AX78=2,"lupini (tracce)","")),IF(AY78=1,"nichel",IF(AY78=2,"nichel (tracce)","")),IF(AZ78=1,"FODMAP",IF(AZ78=2,"FODMAP (tracce)","")))</f>
        <v>glutine, FODMAP</v>
      </c>
      <c r="BB78" s="12" t="n">
        <f aca="false">ROUND(4*C78+4*D78+9*E78+2*N(F78),0)</f>
        <v>356</v>
      </c>
      <c r="BC78" s="12" t="s">
        <v>70</v>
      </c>
      <c r="BD78" s="12"/>
    </row>
    <row r="79" customFormat="false" ht="15" hidden="false" customHeight="false" outlineLevel="0" collapsed="false">
      <c r="A79" s="8" t="s">
        <v>254</v>
      </c>
      <c r="B79" s="9" t="n">
        <v>368</v>
      </c>
      <c r="C79" s="10" t="n">
        <v>57.2</v>
      </c>
      <c r="D79" s="10" t="n">
        <v>14.1</v>
      </c>
      <c r="E79" s="10" t="n">
        <v>6.1</v>
      </c>
      <c r="F79" s="11" t="n">
        <v>7</v>
      </c>
      <c r="G79" s="11"/>
      <c r="H79" s="11" t="n">
        <v>0.71</v>
      </c>
      <c r="I79" s="11" t="n">
        <v>1.61</v>
      </c>
      <c r="J79" s="11" t="n">
        <v>3.29</v>
      </c>
      <c r="K79" s="11" t="n">
        <v>0</v>
      </c>
      <c r="L79" s="11" t="n">
        <v>5</v>
      </c>
      <c r="M79" s="11" t="n">
        <v>563</v>
      </c>
      <c r="N79" s="11" t="n">
        <v>47</v>
      </c>
      <c r="O79" s="11" t="n">
        <v>457</v>
      </c>
      <c r="P79" s="11" t="n">
        <v>197</v>
      </c>
      <c r="Q79" s="11" t="n">
        <v>4.57</v>
      </c>
      <c r="R79" s="11" t="n">
        <v>3.1</v>
      </c>
      <c r="S79" s="11" t="n">
        <v>1</v>
      </c>
      <c r="T79" s="11" t="n">
        <v>0</v>
      </c>
      <c r="U79" s="11" t="n">
        <v>0</v>
      </c>
      <c r="V79" s="11" t="n">
        <v>2.44</v>
      </c>
      <c r="W79" s="11" t="n">
        <v>0.36</v>
      </c>
      <c r="X79" s="11" t="n">
        <v>0.32</v>
      </c>
      <c r="Y79" s="11" t="n">
        <v>1.52</v>
      </c>
      <c r="Z79" s="11" t="n">
        <v>0.49</v>
      </c>
      <c r="AA79" s="11" t="n">
        <v>184</v>
      </c>
      <c r="AB79" s="11" t="n">
        <v>0</v>
      </c>
      <c r="AC79" s="12" t="s">
        <v>242</v>
      </c>
      <c r="AD79" s="12" t="s">
        <v>255</v>
      </c>
      <c r="AE79" s="12" t="s">
        <v>224</v>
      </c>
      <c r="AF79" s="12" t="s">
        <v>215</v>
      </c>
      <c r="AG79" s="12"/>
      <c r="AH79" s="12"/>
      <c r="AI79" s="12"/>
      <c r="AJ79" s="13" t="n">
        <v>0</v>
      </c>
      <c r="AK79" s="13" t="n">
        <v>0</v>
      </c>
      <c r="AL79" s="13" t="n">
        <v>0</v>
      </c>
      <c r="AM79" s="13" t="n">
        <v>0</v>
      </c>
      <c r="AN79" s="13" t="n">
        <v>0</v>
      </c>
      <c r="AO79" s="13" t="n">
        <v>0</v>
      </c>
      <c r="AP79" s="13" t="n">
        <v>0</v>
      </c>
      <c r="AQ79" s="13" t="n">
        <v>0</v>
      </c>
      <c r="AR79" s="13" t="n">
        <v>0</v>
      </c>
      <c r="AS79" s="13" t="n">
        <v>0</v>
      </c>
      <c r="AT79" s="13" t="n">
        <v>0</v>
      </c>
      <c r="AU79" s="13" t="n">
        <v>0</v>
      </c>
      <c r="AV79" s="13" t="n">
        <v>0</v>
      </c>
      <c r="AW79" s="13" t="n">
        <v>0</v>
      </c>
      <c r="AX79" s="13" t="n">
        <v>0</v>
      </c>
      <c r="AY79" s="13" t="n">
        <v>0</v>
      </c>
      <c r="AZ79" s="13" t="n">
        <v>0</v>
      </c>
      <c r="BA79" s="12" t="str">
        <f aca="false">_xlfn.TEXTJOIN(", ",TRUE(),IF(AJ79=1,"glutine",IF(AJ79=2,"glutine (tracce)","")),IF(AK79=1,"latte",IF(AK79=2,"latte (tracce)","")),IF(AL79=1,"lattosio",IF(AL79=2,"lattosio (tracce)","")),IF(AM79=1,"uova",IF(AM79=2,"uova (tracce)","")),IF(AN79=1,"pesce",IF(AN79=2,"pesce (tracce)","")),IF(AO79=1,"crostacei",IF(AO79=2,"crostacei (tracce)","")),IF(AP79=1,"molluschi",IF(AP79=2,"molluschi (tracce)","")),IF(AQ79=1,"frutta a guscio",IF(AQ79=2,"frutta a guscio (tracce)","")),IF(AR79=1,"arachidi",IF(AR79=2,"arachidi (tracce)","")),IF(AS79=1,"soia",IF(AS79=2,"soia (tracce)","")),IF(AT79=1,"sesamo",IF(AT79=2,"sesamo (tracce)","")),IF(AU79=1,"sedano",IF(AU79=2,"sedano (tracce)","")),IF(AV79=1,"senape",IF(AV79=2,"senape (tracce)","")),IF(AW79=1,"solfiti",IF(AW79=2,"solfiti (tracce)","")),IF(AX79=1,"lupini",IF(AX79=2,"lupini (tracce)","")),IF(AY79=1,"nichel",IF(AY79=2,"nichel (tracce)","")),IF(AZ79=1,"FODMAP",IF(AZ79=2,"FODMAP (tracce)","")))</f>
        <v/>
      </c>
      <c r="BB79" s="12" t="n">
        <f aca="false">ROUND(4*C79+4*D79+9*E79+2*N(F79),0)</f>
        <v>354</v>
      </c>
      <c r="BC79" s="12" t="s">
        <v>70</v>
      </c>
      <c r="BD79" s="12" t="s">
        <v>256</v>
      </c>
    </row>
    <row r="80" customFormat="false" ht="15" hidden="false" customHeight="false" outlineLevel="0" collapsed="false">
      <c r="A80" s="8" t="s">
        <v>257</v>
      </c>
      <c r="B80" s="9" t="n">
        <v>338</v>
      </c>
      <c r="C80" s="10" t="n">
        <v>59.5</v>
      </c>
      <c r="D80" s="10" t="n">
        <v>14.6</v>
      </c>
      <c r="E80" s="10" t="n">
        <v>2.4</v>
      </c>
      <c r="F80" s="11" t="n">
        <v>10.7</v>
      </c>
      <c r="G80" s="11" t="n">
        <v>6.8</v>
      </c>
      <c r="H80" s="11" t="n">
        <v>0.41</v>
      </c>
      <c r="I80" s="11" t="n">
        <v>0.45</v>
      </c>
      <c r="J80" s="11" t="n">
        <v>1.26</v>
      </c>
      <c r="K80" s="11" t="n">
        <v>0</v>
      </c>
      <c r="L80" s="11" t="n">
        <v>8</v>
      </c>
      <c r="M80" s="11" t="n">
        <v>388</v>
      </c>
      <c r="N80" s="11" t="n">
        <v>27</v>
      </c>
      <c r="O80" s="11" t="n">
        <v>401</v>
      </c>
      <c r="P80" s="11" t="n">
        <v>136</v>
      </c>
      <c r="Q80" s="11" t="n">
        <v>4.44</v>
      </c>
      <c r="R80" s="11" t="n">
        <v>3.28</v>
      </c>
      <c r="S80" s="11" t="n">
        <v>0</v>
      </c>
      <c r="T80" s="11" t="n">
        <v>0</v>
      </c>
      <c r="U80" s="11" t="n">
        <v>0</v>
      </c>
      <c r="V80" s="11" t="n">
        <v>0.79</v>
      </c>
      <c r="W80" s="11" t="n">
        <v>0.36</v>
      </c>
      <c r="X80" s="11" t="n">
        <v>0.11</v>
      </c>
      <c r="Y80" s="11" t="n">
        <v>6.84</v>
      </c>
      <c r="Z80" s="11" t="n">
        <v>0.23</v>
      </c>
      <c r="AA80" s="11" t="n">
        <v>45</v>
      </c>
      <c r="AB80" s="11" t="n">
        <v>0</v>
      </c>
      <c r="AC80" s="12" t="s">
        <v>242</v>
      </c>
      <c r="AD80" s="12" t="s">
        <v>258</v>
      </c>
      <c r="AE80" s="12" t="s">
        <v>224</v>
      </c>
      <c r="AF80" s="12" t="s">
        <v>215</v>
      </c>
      <c r="AG80" s="12"/>
      <c r="AH80" s="12"/>
      <c r="AI80" s="12"/>
      <c r="AJ80" s="13" t="n">
        <v>1</v>
      </c>
      <c r="AK80" s="13" t="n">
        <v>0</v>
      </c>
      <c r="AL80" s="13" t="n">
        <v>0</v>
      </c>
      <c r="AM80" s="13" t="n">
        <v>0</v>
      </c>
      <c r="AN80" s="13" t="n">
        <v>0</v>
      </c>
      <c r="AO80" s="13" t="n">
        <v>0</v>
      </c>
      <c r="AP80" s="13" t="n">
        <v>0</v>
      </c>
      <c r="AQ80" s="13" t="n">
        <v>0</v>
      </c>
      <c r="AR80" s="13" t="n">
        <v>0</v>
      </c>
      <c r="AS80" s="13" t="n">
        <v>0</v>
      </c>
      <c r="AT80" s="13" t="n">
        <v>0</v>
      </c>
      <c r="AU80" s="13" t="n">
        <v>0</v>
      </c>
      <c r="AV80" s="13" t="n">
        <v>0</v>
      </c>
      <c r="AW80" s="13" t="n">
        <v>0</v>
      </c>
      <c r="AX80" s="13" t="n">
        <v>0</v>
      </c>
      <c r="AY80" s="13" t="n">
        <v>1</v>
      </c>
      <c r="AZ80" s="13" t="n">
        <v>1</v>
      </c>
      <c r="BA80" s="12" t="str">
        <f aca="false">_xlfn.TEXTJOIN(", ",TRUE(),IF(AJ80=1,"glutine",IF(AJ80=2,"glutine (tracce)","")),IF(AK80=1,"latte",IF(AK80=2,"latte (tracce)","")),IF(AL80=1,"lattosio",IF(AL80=2,"lattosio (tracce)","")),IF(AM80=1,"uova",IF(AM80=2,"uova (tracce)","")),IF(AN80=1,"pesce",IF(AN80=2,"pesce (tracce)","")),IF(AO80=1,"crostacei",IF(AO80=2,"crostacei (tracce)","")),IF(AP80=1,"molluschi",IF(AP80=2,"molluschi (tracce)","")),IF(AQ80=1,"frutta a guscio",IF(AQ80=2,"frutta a guscio (tracce)","")),IF(AR80=1,"arachidi",IF(AR80=2,"arachidi (tracce)","")),IF(AS80=1,"soia",IF(AS80=2,"soia (tracce)","")),IF(AT80=1,"sesamo",IF(AT80=2,"sesamo (tracce)","")),IF(AU80=1,"sedano",IF(AU80=2,"sedano (tracce)","")),IF(AV80=1,"senape",IF(AV80=2,"senape (tracce)","")),IF(AW80=1,"solfiti",IF(AW80=2,"solfiti (tracce)","")),IF(AX80=1,"lupini",IF(AX80=2,"lupini (tracce)","")),IF(AY80=1,"nichel",IF(AY80=2,"nichel (tracce)","")),IF(AZ80=1,"FODMAP",IF(AZ80=2,"FODMAP (tracce)","")))</f>
        <v>glutine, nichel, FODMAP</v>
      </c>
      <c r="BB80" s="12" t="n">
        <f aca="false">ROUND(4*C80+4*D80+9*E80+2*N(F80),0)</f>
        <v>339</v>
      </c>
      <c r="BC80" s="12" t="s">
        <v>70</v>
      </c>
      <c r="BD80" s="12"/>
    </row>
    <row r="81" customFormat="false" ht="15" hidden="false" customHeight="false" outlineLevel="0" collapsed="false">
      <c r="A81" s="8" t="s">
        <v>259</v>
      </c>
      <c r="B81" s="9" t="n">
        <v>352</v>
      </c>
      <c r="C81" s="10" t="n">
        <v>62.3</v>
      </c>
      <c r="D81" s="10" t="n">
        <v>9.9</v>
      </c>
      <c r="E81" s="10" t="n">
        <v>1.2</v>
      </c>
      <c r="F81" s="11" t="n">
        <v>15.6</v>
      </c>
      <c r="G81" s="11" t="n">
        <v>0.8</v>
      </c>
      <c r="H81" s="11" t="n">
        <v>0.24</v>
      </c>
      <c r="I81" s="11" t="n">
        <v>0.15</v>
      </c>
      <c r="J81" s="11" t="n">
        <v>0.56</v>
      </c>
      <c r="K81" s="11" t="n">
        <v>0</v>
      </c>
      <c r="L81" s="11" t="n">
        <v>9</v>
      </c>
      <c r="M81" s="11" t="n">
        <v>280</v>
      </c>
      <c r="N81" s="11" t="n">
        <v>29</v>
      </c>
      <c r="O81" s="11" t="n">
        <v>221</v>
      </c>
      <c r="P81" s="11" t="n">
        <v>79</v>
      </c>
      <c r="Q81" s="11" t="n">
        <v>2.5</v>
      </c>
      <c r="R81" s="11" t="n">
        <v>2.13</v>
      </c>
      <c r="S81" s="11" t="n">
        <v>1</v>
      </c>
      <c r="T81" s="11" t="n">
        <v>0</v>
      </c>
      <c r="U81" s="11" t="n">
        <v>0</v>
      </c>
      <c r="V81" s="11" t="n">
        <v>0.02</v>
      </c>
      <c r="W81" s="11" t="n">
        <v>0.19</v>
      </c>
      <c r="X81" s="11" t="n">
        <v>0.11</v>
      </c>
      <c r="Y81" s="11" t="n">
        <v>4.6</v>
      </c>
      <c r="Z81" s="11" t="n">
        <v>0.26</v>
      </c>
      <c r="AA81" s="11" t="n">
        <v>23</v>
      </c>
      <c r="AB81" s="11" t="n">
        <v>0</v>
      </c>
      <c r="AC81" s="12" t="s">
        <v>242</v>
      </c>
      <c r="AD81" s="12" t="s">
        <v>260</v>
      </c>
      <c r="AE81" s="12" t="s">
        <v>224</v>
      </c>
      <c r="AF81" s="12" t="s">
        <v>215</v>
      </c>
      <c r="AG81" s="12"/>
      <c r="AH81" s="12"/>
      <c r="AI81" s="12"/>
      <c r="AJ81" s="13" t="n">
        <v>1</v>
      </c>
      <c r="AK81" s="13" t="n">
        <v>0</v>
      </c>
      <c r="AL81" s="13" t="n">
        <v>0</v>
      </c>
      <c r="AM81" s="13" t="n">
        <v>0</v>
      </c>
      <c r="AN81" s="13" t="n">
        <v>0</v>
      </c>
      <c r="AO81" s="13" t="n">
        <v>0</v>
      </c>
      <c r="AP81" s="13" t="n">
        <v>0</v>
      </c>
      <c r="AQ81" s="13" t="n">
        <v>0</v>
      </c>
      <c r="AR81" s="13" t="n">
        <v>0</v>
      </c>
      <c r="AS81" s="13" t="n">
        <v>0</v>
      </c>
      <c r="AT81" s="13" t="n">
        <v>0</v>
      </c>
      <c r="AU81" s="13" t="n">
        <v>0</v>
      </c>
      <c r="AV81" s="13" t="n">
        <v>0</v>
      </c>
      <c r="AW81" s="13" t="n">
        <v>0</v>
      </c>
      <c r="AX81" s="13" t="n">
        <v>0</v>
      </c>
      <c r="AY81" s="13" t="n">
        <v>0</v>
      </c>
      <c r="AZ81" s="13" t="n">
        <v>1</v>
      </c>
      <c r="BA81" s="12" t="str">
        <f aca="false">_xlfn.TEXTJOIN(", ",TRUE(),IF(AJ81=1,"glutine",IF(AJ81=2,"glutine (tracce)","")),IF(AK81=1,"latte",IF(AK81=2,"latte (tracce)","")),IF(AL81=1,"lattosio",IF(AL81=2,"lattosio (tracce)","")),IF(AM81=1,"uova",IF(AM81=2,"uova (tracce)","")),IF(AN81=1,"pesce",IF(AN81=2,"pesce (tracce)","")),IF(AO81=1,"crostacei",IF(AO81=2,"crostacei (tracce)","")),IF(AP81=1,"molluschi",IF(AP81=2,"molluschi (tracce)","")),IF(AQ81=1,"frutta a guscio",IF(AQ81=2,"frutta a guscio (tracce)","")),IF(AR81=1,"arachidi",IF(AR81=2,"arachidi (tracce)","")),IF(AS81=1,"soia",IF(AS81=2,"soia (tracce)","")),IF(AT81=1,"sesamo",IF(AT81=2,"sesamo (tracce)","")),IF(AU81=1,"sedano",IF(AU81=2,"sedano (tracce)","")),IF(AV81=1,"senape",IF(AV81=2,"senape (tracce)","")),IF(AW81=1,"solfiti",IF(AW81=2,"solfiti (tracce)","")),IF(AX81=1,"lupini",IF(AX81=2,"lupini (tracce)","")),IF(AY81=1,"nichel",IF(AY81=2,"nichel (tracce)","")),IF(AZ81=1,"FODMAP",IF(AZ81=2,"FODMAP (tracce)","")))</f>
        <v>glutine, FODMAP</v>
      </c>
      <c r="BB81" s="12" t="n">
        <f aca="false">ROUND(4*C81+4*D81+9*E81+2*N(F81),0)</f>
        <v>331</v>
      </c>
      <c r="BC81" s="12" t="s">
        <v>70</v>
      </c>
      <c r="BD81" s="12"/>
    </row>
    <row r="82" customFormat="false" ht="15" hidden="false" customHeight="false" outlineLevel="0" collapsed="false">
      <c r="A82" s="8" t="s">
        <v>261</v>
      </c>
      <c r="B82" s="9" t="n">
        <v>343</v>
      </c>
      <c r="C82" s="10" t="n">
        <v>61.5</v>
      </c>
      <c r="D82" s="10" t="n">
        <v>13.3</v>
      </c>
      <c r="E82" s="10" t="n">
        <v>3.4</v>
      </c>
      <c r="F82" s="11" t="n">
        <v>10</v>
      </c>
      <c r="G82" s="11"/>
      <c r="H82" s="11" t="n">
        <v>0.74</v>
      </c>
      <c r="I82" s="11" t="n">
        <v>1.04</v>
      </c>
      <c r="J82" s="11" t="n">
        <v>1.04</v>
      </c>
      <c r="K82" s="11" t="n">
        <v>0</v>
      </c>
      <c r="L82" s="11" t="n">
        <v>1</v>
      </c>
      <c r="M82" s="11" t="n">
        <v>460</v>
      </c>
      <c r="N82" s="11" t="n">
        <v>18</v>
      </c>
      <c r="O82" s="11" t="n">
        <v>347</v>
      </c>
      <c r="P82" s="11" t="n">
        <v>231</v>
      </c>
      <c r="Q82" s="11" t="n">
        <v>2.2</v>
      </c>
      <c r="R82" s="11" t="n">
        <v>2.4</v>
      </c>
      <c r="S82" s="11" t="n">
        <v>0</v>
      </c>
      <c r="T82" s="11" t="n">
        <v>0</v>
      </c>
      <c r="U82" s="11" t="n">
        <v>0</v>
      </c>
      <c r="V82" s="11"/>
      <c r="W82" s="11" t="n">
        <v>0.1</v>
      </c>
      <c r="X82" s="11" t="n">
        <v>0.43</v>
      </c>
      <c r="Y82" s="11" t="n">
        <v>7.02</v>
      </c>
      <c r="Z82" s="11" t="n">
        <v>0.21</v>
      </c>
      <c r="AA82" s="11" t="n">
        <v>30</v>
      </c>
      <c r="AB82" s="11" t="n">
        <v>0</v>
      </c>
      <c r="AC82" s="12" t="s">
        <v>242</v>
      </c>
      <c r="AD82" s="12" t="s">
        <v>262</v>
      </c>
      <c r="AE82" s="12" t="s">
        <v>224</v>
      </c>
      <c r="AF82" s="12" t="s">
        <v>215</v>
      </c>
      <c r="AG82" s="12"/>
      <c r="AH82" s="12"/>
      <c r="AI82" s="12"/>
      <c r="AJ82" s="13" t="n">
        <v>0</v>
      </c>
      <c r="AK82" s="13" t="n">
        <v>0</v>
      </c>
      <c r="AL82" s="13" t="n">
        <v>0</v>
      </c>
      <c r="AM82" s="13" t="n">
        <v>0</v>
      </c>
      <c r="AN82" s="13" t="n">
        <v>0</v>
      </c>
      <c r="AO82" s="13" t="n">
        <v>0</v>
      </c>
      <c r="AP82" s="13" t="n">
        <v>0</v>
      </c>
      <c r="AQ82" s="13" t="n">
        <v>0</v>
      </c>
      <c r="AR82" s="13" t="n">
        <v>0</v>
      </c>
      <c r="AS82" s="13" t="n">
        <v>0</v>
      </c>
      <c r="AT82" s="13" t="n">
        <v>0</v>
      </c>
      <c r="AU82" s="13" t="n">
        <v>0</v>
      </c>
      <c r="AV82" s="13" t="n">
        <v>0</v>
      </c>
      <c r="AW82" s="13" t="n">
        <v>0</v>
      </c>
      <c r="AX82" s="13" t="n">
        <v>0</v>
      </c>
      <c r="AY82" s="13" t="n">
        <v>1</v>
      </c>
      <c r="AZ82" s="13" t="n">
        <v>0</v>
      </c>
      <c r="BA82" s="12" t="str">
        <f aca="false">_xlfn.TEXTJOIN(", ",TRUE(),IF(AJ82=1,"glutine",IF(AJ82=2,"glutine (tracce)","")),IF(AK82=1,"latte",IF(AK82=2,"latte (tracce)","")),IF(AL82=1,"lattosio",IF(AL82=2,"lattosio (tracce)","")),IF(AM82=1,"uova",IF(AM82=2,"uova (tracce)","")),IF(AN82=1,"pesce",IF(AN82=2,"pesce (tracce)","")),IF(AO82=1,"crostacei",IF(AO82=2,"crostacei (tracce)","")),IF(AP82=1,"molluschi",IF(AP82=2,"molluschi (tracce)","")),IF(AQ82=1,"frutta a guscio",IF(AQ82=2,"frutta a guscio (tracce)","")),IF(AR82=1,"arachidi",IF(AR82=2,"arachidi (tracce)","")),IF(AS82=1,"soia",IF(AS82=2,"soia (tracce)","")),IF(AT82=1,"sesamo",IF(AT82=2,"sesamo (tracce)","")),IF(AU82=1,"sedano",IF(AU82=2,"sedano (tracce)","")),IF(AV82=1,"senape",IF(AV82=2,"senape (tracce)","")),IF(AW82=1,"solfiti",IF(AW82=2,"solfiti (tracce)","")),IF(AX82=1,"lupini",IF(AX82=2,"lupini (tracce)","")),IF(AY82=1,"nichel",IF(AY82=2,"nichel (tracce)","")),IF(AZ82=1,"FODMAP",IF(AZ82=2,"FODMAP (tracce)","")))</f>
        <v>nichel</v>
      </c>
      <c r="BB82" s="12" t="n">
        <f aca="false">ROUND(4*C82+4*D82+9*E82+2*N(F82),0)</f>
        <v>350</v>
      </c>
      <c r="BC82" s="12" t="s">
        <v>70</v>
      </c>
      <c r="BD82" s="12" t="s">
        <v>256</v>
      </c>
    </row>
    <row r="83" customFormat="false" ht="15" hidden="false" customHeight="false" outlineLevel="0" collapsed="false">
      <c r="A83" s="8" t="s">
        <v>263</v>
      </c>
      <c r="B83" s="9" t="n">
        <v>389</v>
      </c>
      <c r="C83" s="10" t="n">
        <v>55.7</v>
      </c>
      <c r="D83" s="10" t="n">
        <v>16.9</v>
      </c>
      <c r="E83" s="10" t="n">
        <v>6.9</v>
      </c>
      <c r="F83" s="11" t="n">
        <v>10.6</v>
      </c>
      <c r="G83" s="11" t="n">
        <v>1</v>
      </c>
      <c r="H83" s="11" t="n">
        <v>1.22</v>
      </c>
      <c r="I83" s="11" t="n">
        <v>2.18</v>
      </c>
      <c r="J83" s="11" t="n">
        <v>2.54</v>
      </c>
      <c r="K83" s="11" t="n">
        <v>0</v>
      </c>
      <c r="L83" s="11" t="n">
        <v>2</v>
      </c>
      <c r="M83" s="11" t="n">
        <v>429</v>
      </c>
      <c r="N83" s="11" t="n">
        <v>54</v>
      </c>
      <c r="O83" s="11" t="n">
        <v>523</v>
      </c>
      <c r="P83" s="11" t="n">
        <v>177</v>
      </c>
      <c r="Q83" s="11" t="n">
        <v>4.72</v>
      </c>
      <c r="R83" s="11" t="n">
        <v>3.97</v>
      </c>
      <c r="S83" s="11" t="n">
        <v>0</v>
      </c>
      <c r="T83" s="11" t="n">
        <v>0</v>
      </c>
      <c r="U83" s="11" t="n">
        <v>0</v>
      </c>
      <c r="V83" s="11" t="n">
        <v>0.42</v>
      </c>
      <c r="W83" s="11" t="n">
        <v>0.76</v>
      </c>
      <c r="X83" s="11" t="n">
        <v>0.14</v>
      </c>
      <c r="Y83" s="11" t="n">
        <v>0.96</v>
      </c>
      <c r="Z83" s="11" t="n">
        <v>0.12</v>
      </c>
      <c r="AA83" s="11" t="n">
        <v>56</v>
      </c>
      <c r="AB83" s="11" t="n">
        <v>0</v>
      </c>
      <c r="AC83" s="12" t="s">
        <v>242</v>
      </c>
      <c r="AD83" s="12" t="s">
        <v>264</v>
      </c>
      <c r="AE83" s="12" t="s">
        <v>224</v>
      </c>
      <c r="AF83" s="12" t="s">
        <v>215</v>
      </c>
      <c r="AG83" s="12"/>
      <c r="AH83" s="12"/>
      <c r="AI83" s="12"/>
      <c r="AJ83" s="13" t="n">
        <v>2</v>
      </c>
      <c r="AK83" s="13" t="n">
        <v>0</v>
      </c>
      <c r="AL83" s="13" t="n">
        <v>0</v>
      </c>
      <c r="AM83" s="13" t="n">
        <v>0</v>
      </c>
      <c r="AN83" s="13" t="n">
        <v>0</v>
      </c>
      <c r="AO83" s="13" t="n">
        <v>0</v>
      </c>
      <c r="AP83" s="13" t="n">
        <v>0</v>
      </c>
      <c r="AQ83" s="13" t="n">
        <v>0</v>
      </c>
      <c r="AR83" s="13" t="n">
        <v>0</v>
      </c>
      <c r="AS83" s="13" t="n">
        <v>0</v>
      </c>
      <c r="AT83" s="13" t="n">
        <v>0</v>
      </c>
      <c r="AU83" s="13" t="n">
        <v>0</v>
      </c>
      <c r="AV83" s="13" t="n">
        <v>0</v>
      </c>
      <c r="AW83" s="13" t="n">
        <v>0</v>
      </c>
      <c r="AX83" s="13" t="n">
        <v>0</v>
      </c>
      <c r="AY83" s="13" t="n">
        <v>1</v>
      </c>
      <c r="AZ83" s="13" t="n">
        <v>0</v>
      </c>
      <c r="BA83" s="12" t="str">
        <f aca="false">_xlfn.TEXTJOIN(", ",TRUE(),IF(AJ83=1,"glutine",IF(AJ83=2,"glutine (tracce)","")),IF(AK83=1,"latte",IF(AK83=2,"latte (tracce)","")),IF(AL83=1,"lattosio",IF(AL83=2,"lattosio (tracce)","")),IF(AM83=1,"uova",IF(AM83=2,"uova (tracce)","")),IF(AN83=1,"pesce",IF(AN83=2,"pesce (tracce)","")),IF(AO83=1,"crostacei",IF(AO83=2,"crostacei (tracce)","")),IF(AP83=1,"molluschi",IF(AP83=2,"molluschi (tracce)","")),IF(AQ83=1,"frutta a guscio",IF(AQ83=2,"frutta a guscio (tracce)","")),IF(AR83=1,"arachidi",IF(AR83=2,"arachidi (tracce)","")),IF(AS83=1,"soia",IF(AS83=2,"soia (tracce)","")),IF(AT83=1,"sesamo",IF(AT83=2,"sesamo (tracce)","")),IF(AU83=1,"sedano",IF(AU83=2,"sedano (tracce)","")),IF(AV83=1,"senape",IF(AV83=2,"senape (tracce)","")),IF(AW83=1,"solfiti",IF(AW83=2,"solfiti (tracce)","")),IF(AX83=1,"lupini",IF(AX83=2,"lupini (tracce)","")),IF(AY83=1,"nichel",IF(AY83=2,"nichel (tracce)","")),IF(AZ83=1,"FODMAP",IF(AZ83=2,"FODMAP (tracce)","")))</f>
        <v>glutine (tracce), nichel</v>
      </c>
      <c r="BB83" s="12" t="n">
        <f aca="false">ROUND(4*C83+4*D83+9*E83+2*N(F83),0)</f>
        <v>374</v>
      </c>
      <c r="BC83" s="12" t="s">
        <v>70</v>
      </c>
      <c r="BD83" s="12" t="s">
        <v>265</v>
      </c>
    </row>
    <row r="84" customFormat="false" ht="15" hidden="false" customHeight="false" outlineLevel="0" collapsed="false">
      <c r="A84" s="8" t="s">
        <v>266</v>
      </c>
      <c r="B84" s="9" t="n">
        <v>364</v>
      </c>
      <c r="C84" s="10" t="n">
        <v>73.6</v>
      </c>
      <c r="D84" s="10" t="n">
        <v>10.3</v>
      </c>
      <c r="E84" s="10" t="n">
        <v>1</v>
      </c>
      <c r="F84" s="11" t="n">
        <v>2.7</v>
      </c>
      <c r="G84" s="11" t="n">
        <v>0.27</v>
      </c>
      <c r="H84" s="11" t="n">
        <v>0.16</v>
      </c>
      <c r="I84" s="11" t="n">
        <v>0.09</v>
      </c>
      <c r="J84" s="11" t="n">
        <v>0.41</v>
      </c>
      <c r="K84" s="11" t="n">
        <v>0</v>
      </c>
      <c r="L84" s="11" t="n">
        <v>2</v>
      </c>
      <c r="M84" s="11" t="n">
        <v>107</v>
      </c>
      <c r="N84" s="11" t="n">
        <v>15</v>
      </c>
      <c r="O84" s="11" t="n">
        <v>108</v>
      </c>
      <c r="P84" s="11" t="n">
        <v>22</v>
      </c>
      <c r="Q84" s="11" t="n">
        <v>1.17</v>
      </c>
      <c r="R84" s="11" t="n">
        <v>0.7</v>
      </c>
      <c r="S84" s="11" t="n">
        <v>0</v>
      </c>
      <c r="T84" s="11" t="n">
        <v>0</v>
      </c>
      <c r="U84" s="11" t="n">
        <v>0</v>
      </c>
      <c r="V84" s="11" t="n">
        <v>0.06</v>
      </c>
      <c r="W84" s="11" t="n">
        <v>0.12</v>
      </c>
      <c r="X84" s="11" t="n">
        <v>0.04</v>
      </c>
      <c r="Y84" s="11" t="n">
        <v>1.25</v>
      </c>
      <c r="Z84" s="11" t="n">
        <v>0.04</v>
      </c>
      <c r="AA84" s="11" t="n">
        <v>26</v>
      </c>
      <c r="AB84" s="11" t="n">
        <v>0</v>
      </c>
      <c r="AC84" s="12" t="s">
        <v>242</v>
      </c>
      <c r="AD84" s="12" t="s">
        <v>267</v>
      </c>
      <c r="AE84" s="12" t="s">
        <v>224</v>
      </c>
      <c r="AF84" s="12" t="s">
        <v>215</v>
      </c>
      <c r="AG84" s="12"/>
      <c r="AH84" s="12"/>
      <c r="AI84" s="12"/>
      <c r="AJ84" s="13" t="n">
        <v>1</v>
      </c>
      <c r="AK84" s="13" t="n">
        <v>0</v>
      </c>
      <c r="AL84" s="13" t="n">
        <v>0</v>
      </c>
      <c r="AM84" s="13" t="n">
        <v>0</v>
      </c>
      <c r="AN84" s="13" t="n">
        <v>0</v>
      </c>
      <c r="AO84" s="13" t="n">
        <v>0</v>
      </c>
      <c r="AP84" s="13" t="n">
        <v>0</v>
      </c>
      <c r="AQ84" s="13" t="n">
        <v>0</v>
      </c>
      <c r="AR84" s="13" t="n">
        <v>0</v>
      </c>
      <c r="AS84" s="13" t="n">
        <v>0</v>
      </c>
      <c r="AT84" s="13" t="n">
        <v>0</v>
      </c>
      <c r="AU84" s="13" t="n">
        <v>0</v>
      </c>
      <c r="AV84" s="13" t="n">
        <v>0</v>
      </c>
      <c r="AW84" s="13" t="n">
        <v>0</v>
      </c>
      <c r="AX84" s="13" t="n">
        <v>0</v>
      </c>
      <c r="AY84" s="13" t="n">
        <v>0</v>
      </c>
      <c r="AZ84" s="13" t="n">
        <v>1</v>
      </c>
      <c r="BA84" s="12" t="str">
        <f aca="false">_xlfn.TEXTJOIN(", ",TRUE(),IF(AJ84=1,"glutine",IF(AJ84=2,"glutine (tracce)","")),IF(AK84=1,"latte",IF(AK84=2,"latte (tracce)","")),IF(AL84=1,"lattosio",IF(AL84=2,"lattosio (tracce)","")),IF(AM84=1,"uova",IF(AM84=2,"uova (tracce)","")),IF(AN84=1,"pesce",IF(AN84=2,"pesce (tracce)","")),IF(AO84=1,"crostacei",IF(AO84=2,"crostacei (tracce)","")),IF(AP84=1,"molluschi",IF(AP84=2,"molluschi (tracce)","")),IF(AQ84=1,"frutta a guscio",IF(AQ84=2,"frutta a guscio (tracce)","")),IF(AR84=1,"arachidi",IF(AR84=2,"arachidi (tracce)","")),IF(AS84=1,"soia",IF(AS84=2,"soia (tracce)","")),IF(AT84=1,"sesamo",IF(AT84=2,"sesamo (tracce)","")),IF(AU84=1,"sedano",IF(AU84=2,"sedano (tracce)","")),IF(AV84=1,"senape",IF(AV84=2,"senape (tracce)","")),IF(AW84=1,"solfiti",IF(AW84=2,"solfiti (tracce)","")),IF(AX84=1,"lupini",IF(AX84=2,"lupini (tracce)","")),IF(AY84=1,"nichel",IF(AY84=2,"nichel (tracce)","")),IF(AZ84=1,"FODMAP",IF(AZ84=2,"FODMAP (tracce)","")))</f>
        <v>glutine, FODMAP</v>
      </c>
      <c r="BB84" s="12" t="n">
        <f aca="false">ROUND(4*C84+4*D84+9*E84+2*N(F84),0)</f>
        <v>350</v>
      </c>
      <c r="BC84" s="12" t="s">
        <v>70</v>
      </c>
      <c r="BD84" s="12"/>
    </row>
    <row r="85" customFormat="false" ht="15" hidden="false" customHeight="false" outlineLevel="0" collapsed="false">
      <c r="A85" s="8" t="s">
        <v>268</v>
      </c>
      <c r="B85" s="9" t="n">
        <v>270</v>
      </c>
      <c r="C85" s="10" t="n">
        <v>54.5</v>
      </c>
      <c r="D85" s="10" t="n">
        <v>8.8</v>
      </c>
      <c r="E85" s="10" t="n">
        <v>1.2</v>
      </c>
      <c r="F85" s="11" t="n">
        <v>2.7</v>
      </c>
      <c r="G85" s="11" t="n">
        <v>2</v>
      </c>
      <c r="H85" s="11" t="n">
        <v>0.3</v>
      </c>
      <c r="I85" s="11" t="n">
        <v>0.2</v>
      </c>
      <c r="J85" s="11" t="n">
        <v>0.5</v>
      </c>
      <c r="K85" s="11" t="n">
        <v>0</v>
      </c>
      <c r="L85" s="11" t="n">
        <v>520</v>
      </c>
      <c r="M85" s="11" t="n">
        <v>120</v>
      </c>
      <c r="N85" s="11" t="n">
        <v>20</v>
      </c>
      <c r="O85" s="11" t="n">
        <v>90</v>
      </c>
      <c r="P85" s="11" t="n">
        <v>25</v>
      </c>
      <c r="Q85" s="11" t="n">
        <v>1</v>
      </c>
      <c r="R85" s="11" t="n">
        <v>0.7</v>
      </c>
      <c r="S85" s="11" t="n">
        <v>0</v>
      </c>
      <c r="T85" s="11" t="n">
        <v>0</v>
      </c>
      <c r="U85" s="11" t="n">
        <v>0</v>
      </c>
      <c r="V85" s="11" t="n">
        <v>0.3</v>
      </c>
      <c r="W85" s="11" t="n">
        <v>0.1</v>
      </c>
      <c r="X85" s="11" t="n">
        <v>0.05</v>
      </c>
      <c r="Y85" s="11" t="n">
        <v>1.5</v>
      </c>
      <c r="Z85" s="11" t="n">
        <v>0.1</v>
      </c>
      <c r="AA85" s="11" t="n">
        <v>30</v>
      </c>
      <c r="AB85" s="11" t="n">
        <v>0</v>
      </c>
      <c r="AC85" s="12" t="s">
        <v>242</v>
      </c>
      <c r="AD85" s="12" t="s">
        <v>269</v>
      </c>
      <c r="AE85" s="12" t="s">
        <v>224</v>
      </c>
      <c r="AF85" s="12" t="s">
        <v>84</v>
      </c>
      <c r="AG85" s="12"/>
      <c r="AH85" s="12"/>
      <c r="AI85" s="12"/>
      <c r="AJ85" s="13" t="n">
        <v>1</v>
      </c>
      <c r="AK85" s="13" t="n">
        <v>0</v>
      </c>
      <c r="AL85" s="13" t="n">
        <v>0</v>
      </c>
      <c r="AM85" s="13" t="n">
        <v>0</v>
      </c>
      <c r="AN85" s="13" t="n">
        <v>0</v>
      </c>
      <c r="AO85" s="13" t="n">
        <v>0</v>
      </c>
      <c r="AP85" s="13" t="n">
        <v>0</v>
      </c>
      <c r="AQ85" s="13" t="n">
        <v>0</v>
      </c>
      <c r="AR85" s="13" t="n">
        <v>0</v>
      </c>
      <c r="AS85" s="13" t="n">
        <v>0</v>
      </c>
      <c r="AT85" s="13" t="n">
        <v>0</v>
      </c>
      <c r="AU85" s="13" t="n">
        <v>0</v>
      </c>
      <c r="AV85" s="13" t="n">
        <v>0</v>
      </c>
      <c r="AW85" s="13" t="n">
        <v>0</v>
      </c>
      <c r="AX85" s="13" t="n">
        <v>0</v>
      </c>
      <c r="AY85" s="13" t="n">
        <v>0</v>
      </c>
      <c r="AZ85" s="13" t="n">
        <v>1</v>
      </c>
      <c r="BA85" s="12" t="str">
        <f aca="false">_xlfn.TEXTJOIN(", ",TRUE(),IF(AJ85=1,"glutine",IF(AJ85=2,"glutine (tracce)","")),IF(AK85=1,"latte",IF(AK85=2,"latte (tracce)","")),IF(AL85=1,"lattosio",IF(AL85=2,"lattosio (tracce)","")),IF(AM85=1,"uova",IF(AM85=2,"uova (tracce)","")),IF(AN85=1,"pesce",IF(AN85=2,"pesce (tracce)","")),IF(AO85=1,"crostacei",IF(AO85=2,"crostacei (tracce)","")),IF(AP85=1,"molluschi",IF(AP85=2,"molluschi (tracce)","")),IF(AQ85=1,"frutta a guscio",IF(AQ85=2,"frutta a guscio (tracce)","")),IF(AR85=1,"arachidi",IF(AR85=2,"arachidi (tracce)","")),IF(AS85=1,"soia",IF(AS85=2,"soia (tracce)","")),IF(AT85=1,"sesamo",IF(AT85=2,"sesamo (tracce)","")),IF(AU85=1,"sedano",IF(AU85=2,"sedano (tracce)","")),IF(AV85=1,"senape",IF(AV85=2,"senape (tracce)","")),IF(AW85=1,"solfiti",IF(AW85=2,"solfiti (tracce)","")),IF(AX85=1,"lupini",IF(AX85=2,"lupini (tracce)","")),IF(AY85=1,"nichel",IF(AY85=2,"nichel (tracce)","")),IF(AZ85=1,"FODMAP",IF(AZ85=2,"FODMAP (tracce)","")))</f>
        <v>glutine, FODMAP</v>
      </c>
      <c r="BB85" s="12" t="n">
        <f aca="false">ROUND(4*C85+4*D85+9*E85+2*N(F85),0)</f>
        <v>269</v>
      </c>
      <c r="BC85" s="12" t="s">
        <v>61</v>
      </c>
      <c r="BD85" s="12"/>
    </row>
    <row r="86" customFormat="false" ht="15" hidden="false" customHeight="false" outlineLevel="0" collapsed="false">
      <c r="A86" s="8" t="s">
        <v>270</v>
      </c>
      <c r="B86" s="9" t="n">
        <v>245</v>
      </c>
      <c r="C86" s="10" t="n">
        <v>44</v>
      </c>
      <c r="D86" s="10" t="n">
        <v>9.5</v>
      </c>
      <c r="E86" s="10" t="n">
        <v>1.6</v>
      </c>
      <c r="F86" s="11" t="n">
        <v>7</v>
      </c>
      <c r="G86" s="11" t="n">
        <v>3</v>
      </c>
      <c r="H86" s="11" t="n">
        <v>0.35</v>
      </c>
      <c r="I86" s="11" t="n">
        <v>0.3</v>
      </c>
      <c r="J86" s="11" t="n">
        <v>0.8</v>
      </c>
      <c r="K86" s="11" t="n">
        <v>0</v>
      </c>
      <c r="L86" s="11" t="n">
        <v>450</v>
      </c>
      <c r="M86" s="11" t="n">
        <v>254</v>
      </c>
      <c r="N86" s="11" t="n">
        <v>50</v>
      </c>
      <c r="O86" s="11" t="n">
        <v>212</v>
      </c>
      <c r="P86" s="11" t="n">
        <v>76</v>
      </c>
      <c r="Q86" s="11" t="n">
        <v>2.5</v>
      </c>
      <c r="R86" s="11" t="n">
        <v>1.8</v>
      </c>
      <c r="S86" s="11" t="n">
        <v>0</v>
      </c>
      <c r="T86" s="11" t="n">
        <v>0</v>
      </c>
      <c r="U86" s="11" t="n">
        <v>0</v>
      </c>
      <c r="V86" s="11" t="n">
        <v>0.5</v>
      </c>
      <c r="W86" s="11" t="n">
        <v>0.3</v>
      </c>
      <c r="X86" s="11" t="n">
        <v>0.1</v>
      </c>
      <c r="Y86" s="11" t="n">
        <v>4.4</v>
      </c>
      <c r="Z86" s="11" t="n">
        <v>0.2</v>
      </c>
      <c r="AA86" s="11" t="n">
        <v>42</v>
      </c>
      <c r="AB86" s="11" t="n">
        <v>0</v>
      </c>
      <c r="AC86" s="12" t="s">
        <v>242</v>
      </c>
      <c r="AD86" s="12" t="s">
        <v>271</v>
      </c>
      <c r="AE86" s="12" t="s">
        <v>224</v>
      </c>
      <c r="AF86" s="12" t="s">
        <v>84</v>
      </c>
      <c r="AG86" s="12"/>
      <c r="AH86" s="12"/>
      <c r="AI86" s="12"/>
      <c r="AJ86" s="13" t="n">
        <v>1</v>
      </c>
      <c r="AK86" s="13" t="n">
        <v>0</v>
      </c>
      <c r="AL86" s="13" t="n">
        <v>0</v>
      </c>
      <c r="AM86" s="13" t="n">
        <v>0</v>
      </c>
      <c r="AN86" s="13" t="n">
        <v>0</v>
      </c>
      <c r="AO86" s="13" t="n">
        <v>0</v>
      </c>
      <c r="AP86" s="13" t="n">
        <v>0</v>
      </c>
      <c r="AQ86" s="13" t="n">
        <v>0</v>
      </c>
      <c r="AR86" s="13" t="n">
        <v>0</v>
      </c>
      <c r="AS86" s="13" t="n">
        <v>0</v>
      </c>
      <c r="AT86" s="13" t="n">
        <v>0</v>
      </c>
      <c r="AU86" s="13" t="n">
        <v>0</v>
      </c>
      <c r="AV86" s="13" t="n">
        <v>0</v>
      </c>
      <c r="AW86" s="13" t="n">
        <v>0</v>
      </c>
      <c r="AX86" s="13" t="n">
        <v>0</v>
      </c>
      <c r="AY86" s="13" t="n">
        <v>1</v>
      </c>
      <c r="AZ86" s="13" t="n">
        <v>1</v>
      </c>
      <c r="BA86" s="12" t="str">
        <f aca="false">_xlfn.TEXTJOIN(", ",TRUE(),IF(AJ86=1,"glutine",IF(AJ86=2,"glutine (tracce)","")),IF(AK86=1,"latte",IF(AK86=2,"latte (tracce)","")),IF(AL86=1,"lattosio",IF(AL86=2,"lattosio (tracce)","")),IF(AM86=1,"uova",IF(AM86=2,"uova (tracce)","")),IF(AN86=1,"pesce",IF(AN86=2,"pesce (tracce)","")),IF(AO86=1,"crostacei",IF(AO86=2,"crostacei (tracce)","")),IF(AP86=1,"molluschi",IF(AP86=2,"molluschi (tracce)","")),IF(AQ86=1,"frutta a guscio",IF(AQ86=2,"frutta a guscio (tracce)","")),IF(AR86=1,"arachidi",IF(AR86=2,"arachidi (tracce)","")),IF(AS86=1,"soia",IF(AS86=2,"soia (tracce)","")),IF(AT86=1,"sesamo",IF(AT86=2,"sesamo (tracce)","")),IF(AU86=1,"sedano",IF(AU86=2,"sedano (tracce)","")),IF(AV86=1,"senape",IF(AV86=2,"senape (tracce)","")),IF(AW86=1,"solfiti",IF(AW86=2,"solfiti (tracce)","")),IF(AX86=1,"lupini",IF(AX86=2,"lupini (tracce)","")),IF(AY86=1,"nichel",IF(AY86=2,"nichel (tracce)","")),IF(AZ86=1,"FODMAP",IF(AZ86=2,"FODMAP (tracce)","")))</f>
        <v>glutine, nichel, FODMAP</v>
      </c>
      <c r="BB86" s="12" t="n">
        <f aca="false">ROUND(4*C86+4*D86+9*E86+2*N(F86),0)</f>
        <v>242</v>
      </c>
      <c r="BC86" s="12" t="s">
        <v>171</v>
      </c>
      <c r="BD86" s="12"/>
    </row>
    <row r="87" customFormat="false" ht="15" hidden="false" customHeight="false" outlineLevel="0" collapsed="false">
      <c r="A87" s="8" t="s">
        <v>272</v>
      </c>
      <c r="B87" s="9" t="n">
        <v>259</v>
      </c>
      <c r="C87" s="10" t="n">
        <v>42.5</v>
      </c>
      <c r="D87" s="10" t="n">
        <v>8.5</v>
      </c>
      <c r="E87" s="10" t="n">
        <v>3.3</v>
      </c>
      <c r="F87" s="11" t="n">
        <v>5.8</v>
      </c>
      <c r="G87" s="11" t="n">
        <v>3.85</v>
      </c>
      <c r="H87" s="11" t="n">
        <v>0.63</v>
      </c>
      <c r="I87" s="11" t="n">
        <v>1.3</v>
      </c>
      <c r="J87" s="11" t="n">
        <v>0.8</v>
      </c>
      <c r="K87" s="11" t="n">
        <v>0</v>
      </c>
      <c r="L87" s="11" t="n">
        <v>603</v>
      </c>
      <c r="M87" s="11" t="n">
        <v>166</v>
      </c>
      <c r="N87" s="11" t="n">
        <v>73</v>
      </c>
      <c r="O87" s="11" t="n">
        <v>125</v>
      </c>
      <c r="P87" s="11" t="n">
        <v>40</v>
      </c>
      <c r="Q87" s="11" t="n">
        <v>2</v>
      </c>
      <c r="R87" s="11" t="n">
        <v>1.14</v>
      </c>
      <c r="S87" s="11" t="n">
        <v>0</v>
      </c>
      <c r="T87" s="11" t="n">
        <v>0</v>
      </c>
      <c r="U87" s="11" t="n">
        <v>0</v>
      </c>
      <c r="V87" s="11" t="n">
        <v>0.33</v>
      </c>
      <c r="W87" s="11" t="n">
        <v>0.2</v>
      </c>
      <c r="X87" s="11" t="n">
        <v>0.1</v>
      </c>
      <c r="Y87" s="11" t="n">
        <v>1.5</v>
      </c>
      <c r="Z87" s="11" t="n">
        <v>0.08</v>
      </c>
      <c r="AA87" s="11" t="n">
        <v>50</v>
      </c>
      <c r="AB87" s="11" t="n">
        <v>0</v>
      </c>
      <c r="AC87" s="12" t="s">
        <v>242</v>
      </c>
      <c r="AD87" s="12" t="s">
        <v>273</v>
      </c>
      <c r="AE87" s="12" t="s">
        <v>224</v>
      </c>
      <c r="AF87" s="12" t="s">
        <v>84</v>
      </c>
      <c r="AG87" s="12"/>
      <c r="AH87" s="12"/>
      <c r="AI87" s="12"/>
      <c r="AJ87" s="13" t="n">
        <v>1</v>
      </c>
      <c r="AK87" s="13" t="n">
        <v>0</v>
      </c>
      <c r="AL87" s="13" t="n">
        <v>0</v>
      </c>
      <c r="AM87" s="13" t="n">
        <v>0</v>
      </c>
      <c r="AN87" s="13" t="n">
        <v>0</v>
      </c>
      <c r="AO87" s="13" t="n">
        <v>0</v>
      </c>
      <c r="AP87" s="13" t="n">
        <v>0</v>
      </c>
      <c r="AQ87" s="13" t="n">
        <v>0</v>
      </c>
      <c r="AR87" s="13" t="n">
        <v>0</v>
      </c>
      <c r="AS87" s="13" t="n">
        <v>0</v>
      </c>
      <c r="AT87" s="13" t="n">
        <v>0</v>
      </c>
      <c r="AU87" s="13" t="n">
        <v>0</v>
      </c>
      <c r="AV87" s="13" t="n">
        <v>0</v>
      </c>
      <c r="AW87" s="13" t="n">
        <v>0</v>
      </c>
      <c r="AX87" s="13" t="n">
        <v>0</v>
      </c>
      <c r="AY87" s="13" t="n">
        <v>0</v>
      </c>
      <c r="AZ87" s="13" t="n">
        <v>1</v>
      </c>
      <c r="BA87" s="12" t="str">
        <f aca="false">_xlfn.TEXTJOIN(", ",TRUE(),IF(AJ87=1,"glutine",IF(AJ87=2,"glutine (tracce)","")),IF(AK87=1,"latte",IF(AK87=2,"latte (tracce)","")),IF(AL87=1,"lattosio",IF(AL87=2,"lattosio (tracce)","")),IF(AM87=1,"uova",IF(AM87=2,"uova (tracce)","")),IF(AN87=1,"pesce",IF(AN87=2,"pesce (tracce)","")),IF(AO87=1,"crostacei",IF(AO87=2,"crostacei (tracce)","")),IF(AP87=1,"molluschi",IF(AP87=2,"molluschi (tracce)","")),IF(AQ87=1,"frutta a guscio",IF(AQ87=2,"frutta a guscio (tracce)","")),IF(AR87=1,"arachidi",IF(AR87=2,"arachidi (tracce)","")),IF(AS87=1,"soia",IF(AS87=2,"soia (tracce)","")),IF(AT87=1,"sesamo",IF(AT87=2,"sesamo (tracce)","")),IF(AU87=1,"sedano",IF(AU87=2,"sedano (tracce)","")),IF(AV87=1,"senape",IF(AV87=2,"senape (tracce)","")),IF(AW87=1,"solfiti",IF(AW87=2,"solfiti (tracce)","")),IF(AX87=1,"lupini",IF(AX87=2,"lupini (tracce)","")),IF(AY87=1,"nichel",IF(AY87=2,"nichel (tracce)","")),IF(AZ87=1,"FODMAP",IF(AZ87=2,"FODMAP (tracce)","")))</f>
        <v>glutine, FODMAP</v>
      </c>
      <c r="BB87" s="12" t="n">
        <f aca="false">ROUND(4*C87+4*D87+9*E87+2*N(F87),0)</f>
        <v>245</v>
      </c>
      <c r="BC87" s="12" t="s">
        <v>70</v>
      </c>
      <c r="BD87" s="12" t="s">
        <v>274</v>
      </c>
    </row>
    <row r="88" customFormat="false" ht="15" hidden="false" customHeight="false" outlineLevel="0" collapsed="false">
      <c r="A88" s="8" t="s">
        <v>275</v>
      </c>
      <c r="B88" s="9" t="n">
        <v>279</v>
      </c>
      <c r="C88" s="10" t="n">
        <v>49</v>
      </c>
      <c r="D88" s="10" t="n">
        <v>8.4</v>
      </c>
      <c r="E88" s="10" t="n">
        <v>4.7</v>
      </c>
      <c r="F88" s="11" t="n">
        <v>3.3</v>
      </c>
      <c r="G88" s="11" t="n">
        <v>4.8</v>
      </c>
      <c r="H88" s="11" t="n">
        <v>0.5</v>
      </c>
      <c r="I88" s="11"/>
      <c r="J88" s="11"/>
      <c r="K88" s="11" t="n">
        <v>0</v>
      </c>
      <c r="L88" s="11" t="n">
        <v>440</v>
      </c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2" t="s">
        <v>242</v>
      </c>
      <c r="AD88" s="12" t="s">
        <v>276</v>
      </c>
      <c r="AE88" s="12" t="s">
        <v>224</v>
      </c>
      <c r="AF88" s="12" t="s">
        <v>84</v>
      </c>
      <c r="AG88" s="12"/>
      <c r="AH88" s="12" t="n">
        <v>25</v>
      </c>
      <c r="AI88" s="12" t="s">
        <v>277</v>
      </c>
      <c r="AJ88" s="13" t="n">
        <v>1</v>
      </c>
      <c r="AK88" s="13" t="n">
        <v>2</v>
      </c>
      <c r="AL88" s="13" t="n">
        <v>0</v>
      </c>
      <c r="AM88" s="13" t="n">
        <v>0</v>
      </c>
      <c r="AN88" s="13" t="n">
        <v>0</v>
      </c>
      <c r="AO88" s="13" t="n">
        <v>0</v>
      </c>
      <c r="AP88" s="13" t="n">
        <v>0</v>
      </c>
      <c r="AQ88" s="13" t="n">
        <v>0</v>
      </c>
      <c r="AR88" s="13" t="n">
        <v>0</v>
      </c>
      <c r="AS88" s="13" t="n">
        <v>0</v>
      </c>
      <c r="AT88" s="13" t="n">
        <v>0</v>
      </c>
      <c r="AU88" s="13" t="n">
        <v>0</v>
      </c>
      <c r="AV88" s="13" t="n">
        <v>0</v>
      </c>
      <c r="AW88" s="13" t="n">
        <v>0</v>
      </c>
      <c r="AX88" s="13" t="n">
        <v>0</v>
      </c>
      <c r="AY88" s="13" t="n">
        <v>0</v>
      </c>
      <c r="AZ88" s="13" t="n">
        <v>1</v>
      </c>
      <c r="BA88" s="12" t="str">
        <f aca="false">_xlfn.TEXTJOIN(", ",TRUE(),IF(AJ88=1,"glutine",IF(AJ88=2,"glutine (tracce)","")),IF(AK88=1,"latte",IF(AK88=2,"latte (tracce)","")),IF(AL88=1,"lattosio",IF(AL88=2,"lattosio (tracce)","")),IF(AM88=1,"uova",IF(AM88=2,"uova (tracce)","")),IF(AN88=1,"pesce",IF(AN88=2,"pesce (tracce)","")),IF(AO88=1,"crostacei",IF(AO88=2,"crostacei (tracce)","")),IF(AP88=1,"molluschi",IF(AP88=2,"molluschi (tracce)","")),IF(AQ88=1,"frutta a guscio",IF(AQ88=2,"frutta a guscio (tracce)","")),IF(AR88=1,"arachidi",IF(AR88=2,"arachidi (tracce)","")),IF(AS88=1,"soia",IF(AS88=2,"soia (tracce)","")),IF(AT88=1,"sesamo",IF(AT88=2,"sesamo (tracce)","")),IF(AU88=1,"sedano",IF(AU88=2,"sedano (tracce)","")),IF(AV88=1,"senape",IF(AV88=2,"senape (tracce)","")),IF(AW88=1,"solfiti",IF(AW88=2,"solfiti (tracce)","")),IF(AX88=1,"lupini",IF(AX88=2,"lupini (tracce)","")),IF(AY88=1,"nichel",IF(AY88=2,"nichel (tracce)","")),IF(AZ88=1,"FODMAP",IF(AZ88=2,"FODMAP (tracce)","")))</f>
        <v>glutine, latte (tracce), FODMAP</v>
      </c>
      <c r="BB88" s="12" t="n">
        <f aca="false">ROUND(4*C88+4*D88+9*E88+2*N(F88),0)</f>
        <v>279</v>
      </c>
      <c r="BC88" s="12" t="s">
        <v>78</v>
      </c>
      <c r="BD88" s="12"/>
    </row>
    <row r="89" customFormat="false" ht="15" hidden="false" customHeight="false" outlineLevel="0" collapsed="false">
      <c r="A89" s="8" t="s">
        <v>278</v>
      </c>
      <c r="B89" s="9" t="n">
        <v>410</v>
      </c>
      <c r="C89" s="10" t="n">
        <v>74</v>
      </c>
      <c r="D89" s="10" t="n">
        <v>11.5</v>
      </c>
      <c r="E89" s="10" t="n">
        <v>6</v>
      </c>
      <c r="F89" s="11" t="n">
        <v>3.5</v>
      </c>
      <c r="G89" s="11" t="n">
        <v>7</v>
      </c>
      <c r="H89" s="11" t="n">
        <v>0.7</v>
      </c>
      <c r="I89" s="11"/>
      <c r="J89" s="11"/>
      <c r="K89" s="11" t="n">
        <v>0</v>
      </c>
      <c r="L89" s="11" t="n">
        <v>560</v>
      </c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2" t="s">
        <v>242</v>
      </c>
      <c r="AD89" s="12" t="s">
        <v>279</v>
      </c>
      <c r="AE89" s="12" t="s">
        <v>224</v>
      </c>
      <c r="AF89" s="12" t="s">
        <v>84</v>
      </c>
      <c r="AG89" s="12"/>
      <c r="AH89" s="12" t="n">
        <v>9</v>
      </c>
      <c r="AI89" s="12" t="s">
        <v>277</v>
      </c>
      <c r="AJ89" s="13" t="n">
        <v>1</v>
      </c>
      <c r="AK89" s="13" t="n">
        <v>2</v>
      </c>
      <c r="AL89" s="13" t="n">
        <v>0</v>
      </c>
      <c r="AM89" s="13" t="n">
        <v>0</v>
      </c>
      <c r="AN89" s="13" t="n">
        <v>0</v>
      </c>
      <c r="AO89" s="13" t="n">
        <v>0</v>
      </c>
      <c r="AP89" s="13" t="n">
        <v>0</v>
      </c>
      <c r="AQ89" s="13" t="n">
        <v>0</v>
      </c>
      <c r="AR89" s="13" t="n">
        <v>0</v>
      </c>
      <c r="AS89" s="13" t="n">
        <v>0</v>
      </c>
      <c r="AT89" s="13" t="n">
        <v>0</v>
      </c>
      <c r="AU89" s="13" t="n">
        <v>0</v>
      </c>
      <c r="AV89" s="13" t="n">
        <v>0</v>
      </c>
      <c r="AW89" s="13" t="n">
        <v>0</v>
      </c>
      <c r="AX89" s="13" t="n">
        <v>0</v>
      </c>
      <c r="AY89" s="13" t="n">
        <v>0</v>
      </c>
      <c r="AZ89" s="13" t="n">
        <v>1</v>
      </c>
      <c r="BA89" s="12" t="str">
        <f aca="false">_xlfn.TEXTJOIN(", ",TRUE(),IF(AJ89=1,"glutine",IF(AJ89=2,"glutine (tracce)","")),IF(AK89=1,"latte",IF(AK89=2,"latte (tracce)","")),IF(AL89=1,"lattosio",IF(AL89=2,"lattosio (tracce)","")),IF(AM89=1,"uova",IF(AM89=2,"uova (tracce)","")),IF(AN89=1,"pesce",IF(AN89=2,"pesce (tracce)","")),IF(AO89=1,"crostacei",IF(AO89=2,"crostacei (tracce)","")),IF(AP89=1,"molluschi",IF(AP89=2,"molluschi (tracce)","")),IF(AQ89=1,"frutta a guscio",IF(AQ89=2,"frutta a guscio (tracce)","")),IF(AR89=1,"arachidi",IF(AR89=2,"arachidi (tracce)","")),IF(AS89=1,"soia",IF(AS89=2,"soia (tracce)","")),IF(AT89=1,"sesamo",IF(AT89=2,"sesamo (tracce)","")),IF(AU89=1,"sedano",IF(AU89=2,"sedano (tracce)","")),IF(AV89=1,"senape",IF(AV89=2,"senape (tracce)","")),IF(AW89=1,"solfiti",IF(AW89=2,"solfiti (tracce)","")),IF(AX89=1,"lupini",IF(AX89=2,"lupini (tracce)","")),IF(AY89=1,"nichel",IF(AY89=2,"nichel (tracce)","")),IF(AZ89=1,"FODMAP",IF(AZ89=2,"FODMAP (tracce)","")))</f>
        <v>glutine, latte (tracce), FODMAP</v>
      </c>
      <c r="BB89" s="12" t="n">
        <f aca="false">ROUND(4*C89+4*D89+9*E89+2*N(F89),0)</f>
        <v>403</v>
      </c>
      <c r="BC89" s="12" t="s">
        <v>78</v>
      </c>
      <c r="BD89" s="12"/>
    </row>
    <row r="90" customFormat="false" ht="15" hidden="false" customHeight="false" outlineLevel="0" collapsed="false">
      <c r="A90" s="8" t="s">
        <v>280</v>
      </c>
      <c r="B90" s="9" t="n">
        <v>387</v>
      </c>
      <c r="C90" s="10" t="n">
        <v>77.3</v>
      </c>
      <c r="D90" s="10" t="n">
        <v>8.2</v>
      </c>
      <c r="E90" s="10" t="n">
        <v>2.8</v>
      </c>
      <c r="F90" s="11" t="n">
        <v>4.2</v>
      </c>
      <c r="G90" s="11" t="n">
        <v>0.9</v>
      </c>
      <c r="H90" s="11" t="n">
        <v>0.57</v>
      </c>
      <c r="I90" s="11" t="n">
        <v>1.04</v>
      </c>
      <c r="J90" s="11" t="n">
        <v>1</v>
      </c>
      <c r="K90" s="11" t="n">
        <v>0</v>
      </c>
      <c r="L90" s="11" t="n">
        <v>30</v>
      </c>
      <c r="M90" s="11" t="n">
        <v>290</v>
      </c>
      <c r="N90" s="11" t="n">
        <v>11</v>
      </c>
      <c r="O90" s="11" t="n">
        <v>357</v>
      </c>
      <c r="P90" s="11" t="n">
        <v>131</v>
      </c>
      <c r="Q90" s="11" t="n">
        <v>1.49</v>
      </c>
      <c r="R90" s="11" t="n">
        <v>3.06</v>
      </c>
      <c r="S90" s="11" t="n">
        <v>0</v>
      </c>
      <c r="T90" s="11" t="n">
        <v>0</v>
      </c>
      <c r="U90" s="11" t="n">
        <v>0</v>
      </c>
      <c r="V90" s="11" t="n">
        <v>0.6</v>
      </c>
      <c r="W90" s="11" t="n">
        <v>0.06</v>
      </c>
      <c r="X90" s="11" t="n">
        <v>0.17</v>
      </c>
      <c r="Y90" s="11" t="n">
        <v>7.84</v>
      </c>
      <c r="Z90" s="11" t="n">
        <v>0.15</v>
      </c>
      <c r="AA90" s="11" t="n">
        <v>21</v>
      </c>
      <c r="AB90" s="11" t="n">
        <v>0</v>
      </c>
      <c r="AC90" s="12" t="s">
        <v>242</v>
      </c>
      <c r="AD90" s="12" t="s">
        <v>281</v>
      </c>
      <c r="AE90" s="12" t="s">
        <v>224</v>
      </c>
      <c r="AF90" s="12" t="s">
        <v>84</v>
      </c>
      <c r="AG90" s="12"/>
      <c r="AH90" s="12" t="n">
        <v>8</v>
      </c>
      <c r="AI90" s="12" t="s">
        <v>282</v>
      </c>
      <c r="AJ90" s="13" t="n">
        <v>2</v>
      </c>
      <c r="AK90" s="13" t="n">
        <v>0</v>
      </c>
      <c r="AL90" s="13" t="n">
        <v>0</v>
      </c>
      <c r="AM90" s="13" t="n">
        <v>0</v>
      </c>
      <c r="AN90" s="13" t="n">
        <v>0</v>
      </c>
      <c r="AO90" s="13" t="n">
        <v>0</v>
      </c>
      <c r="AP90" s="13" t="n">
        <v>0</v>
      </c>
      <c r="AQ90" s="13" t="n">
        <v>0</v>
      </c>
      <c r="AR90" s="13" t="n">
        <v>0</v>
      </c>
      <c r="AS90" s="13" t="n">
        <v>0</v>
      </c>
      <c r="AT90" s="13" t="n">
        <v>0</v>
      </c>
      <c r="AU90" s="13" t="n">
        <v>0</v>
      </c>
      <c r="AV90" s="13" t="n">
        <v>0</v>
      </c>
      <c r="AW90" s="13" t="n">
        <v>0</v>
      </c>
      <c r="AX90" s="13" t="n">
        <v>0</v>
      </c>
      <c r="AY90" s="13" t="n">
        <v>0</v>
      </c>
      <c r="AZ90" s="13" t="n">
        <v>0</v>
      </c>
      <c r="BA90" s="12" t="str">
        <f aca="false">_xlfn.TEXTJOIN(", ",TRUE(),IF(AJ90=1,"glutine",IF(AJ90=2,"glutine (tracce)","")),IF(AK90=1,"latte",IF(AK90=2,"latte (tracce)","")),IF(AL90=1,"lattosio",IF(AL90=2,"lattosio (tracce)","")),IF(AM90=1,"uova",IF(AM90=2,"uova (tracce)","")),IF(AN90=1,"pesce",IF(AN90=2,"pesce (tracce)","")),IF(AO90=1,"crostacei",IF(AO90=2,"crostacei (tracce)","")),IF(AP90=1,"molluschi",IF(AP90=2,"molluschi (tracce)","")),IF(AQ90=1,"frutta a guscio",IF(AQ90=2,"frutta a guscio (tracce)","")),IF(AR90=1,"arachidi",IF(AR90=2,"arachidi (tracce)","")),IF(AS90=1,"soia",IF(AS90=2,"soia (tracce)","")),IF(AT90=1,"sesamo",IF(AT90=2,"sesamo (tracce)","")),IF(AU90=1,"sedano",IF(AU90=2,"sedano (tracce)","")),IF(AV90=1,"senape",IF(AV90=2,"senape (tracce)","")),IF(AW90=1,"solfiti",IF(AW90=2,"solfiti (tracce)","")),IF(AX90=1,"lupini",IF(AX90=2,"lupini (tracce)","")),IF(AY90=1,"nichel",IF(AY90=2,"nichel (tracce)","")),IF(AZ90=1,"FODMAP",IF(AZ90=2,"FODMAP (tracce)","")))</f>
        <v>glutine (tracce)</v>
      </c>
      <c r="BB90" s="12" t="n">
        <f aca="false">ROUND(4*C90+4*D90+9*E90+2*N(F90),0)</f>
        <v>376</v>
      </c>
      <c r="BC90" s="12" t="s">
        <v>70</v>
      </c>
      <c r="BD90" s="12"/>
    </row>
    <row r="91" customFormat="false" ht="15" hidden="false" customHeight="false" outlineLevel="0" collapsed="false">
      <c r="A91" s="8" t="s">
        <v>283</v>
      </c>
      <c r="B91" s="9" t="n">
        <v>380</v>
      </c>
      <c r="C91" s="10" t="n">
        <v>79</v>
      </c>
      <c r="D91" s="10" t="n">
        <v>8</v>
      </c>
      <c r="E91" s="10" t="n">
        <v>2.5</v>
      </c>
      <c r="F91" s="11" t="n">
        <v>4</v>
      </c>
      <c r="G91" s="11" t="n">
        <v>1</v>
      </c>
      <c r="H91" s="11" t="n">
        <v>0.4</v>
      </c>
      <c r="I91" s="11"/>
      <c r="J91" s="11"/>
      <c r="K91" s="11" t="n">
        <v>0</v>
      </c>
      <c r="L91" s="11" t="n">
        <v>100</v>
      </c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2" t="s">
        <v>242</v>
      </c>
      <c r="AD91" s="12" t="s">
        <v>284</v>
      </c>
      <c r="AE91" s="12" t="s">
        <v>224</v>
      </c>
      <c r="AF91" s="12" t="s">
        <v>84</v>
      </c>
      <c r="AG91" s="12"/>
      <c r="AH91" s="12" t="n">
        <v>8</v>
      </c>
      <c r="AI91" s="12" t="s">
        <v>282</v>
      </c>
      <c r="AJ91" s="13" t="n">
        <v>2</v>
      </c>
      <c r="AK91" s="13" t="n">
        <v>0</v>
      </c>
      <c r="AL91" s="13" t="n">
        <v>0</v>
      </c>
      <c r="AM91" s="13" t="n">
        <v>0</v>
      </c>
      <c r="AN91" s="13" t="n">
        <v>0</v>
      </c>
      <c r="AO91" s="13" t="n">
        <v>0</v>
      </c>
      <c r="AP91" s="13" t="n">
        <v>0</v>
      </c>
      <c r="AQ91" s="13" t="n">
        <v>0</v>
      </c>
      <c r="AR91" s="13" t="n">
        <v>0</v>
      </c>
      <c r="AS91" s="13" t="n">
        <v>0</v>
      </c>
      <c r="AT91" s="13" t="n">
        <v>0</v>
      </c>
      <c r="AU91" s="13" t="n">
        <v>0</v>
      </c>
      <c r="AV91" s="13" t="n">
        <v>0</v>
      </c>
      <c r="AW91" s="13" t="n">
        <v>0</v>
      </c>
      <c r="AX91" s="13" t="n">
        <v>0</v>
      </c>
      <c r="AY91" s="13" t="n">
        <v>0</v>
      </c>
      <c r="AZ91" s="13" t="n">
        <v>0</v>
      </c>
      <c r="BA91" s="12" t="str">
        <f aca="false">_xlfn.TEXTJOIN(", ",TRUE(),IF(AJ91=1,"glutine",IF(AJ91=2,"glutine (tracce)","")),IF(AK91=1,"latte",IF(AK91=2,"latte (tracce)","")),IF(AL91=1,"lattosio",IF(AL91=2,"lattosio (tracce)","")),IF(AM91=1,"uova",IF(AM91=2,"uova (tracce)","")),IF(AN91=1,"pesce",IF(AN91=2,"pesce (tracce)","")),IF(AO91=1,"crostacei",IF(AO91=2,"crostacei (tracce)","")),IF(AP91=1,"molluschi",IF(AP91=2,"molluschi (tracce)","")),IF(AQ91=1,"frutta a guscio",IF(AQ91=2,"frutta a guscio (tracce)","")),IF(AR91=1,"arachidi",IF(AR91=2,"arachidi (tracce)","")),IF(AS91=1,"soia",IF(AS91=2,"soia (tracce)","")),IF(AT91=1,"sesamo",IF(AT91=2,"sesamo (tracce)","")),IF(AU91=1,"sedano",IF(AU91=2,"sedano (tracce)","")),IF(AV91=1,"senape",IF(AV91=2,"senape (tracce)","")),IF(AW91=1,"solfiti",IF(AW91=2,"solfiti (tracce)","")),IF(AX91=1,"lupini",IF(AX91=2,"lupini (tracce)","")),IF(AY91=1,"nichel",IF(AY91=2,"nichel (tracce)","")),IF(AZ91=1,"FODMAP",IF(AZ91=2,"FODMAP (tracce)","")))</f>
        <v>glutine (tracce)</v>
      </c>
      <c r="BB91" s="12" t="n">
        <f aca="false">ROUND(4*C91+4*D91+9*E91+2*N(F91),0)</f>
        <v>379</v>
      </c>
      <c r="BC91" s="12" t="s">
        <v>78</v>
      </c>
      <c r="BD91" s="12"/>
    </row>
    <row r="92" customFormat="false" ht="15" hidden="false" customHeight="false" outlineLevel="0" collapsed="false">
      <c r="A92" s="8" t="s">
        <v>285</v>
      </c>
      <c r="B92" s="9" t="n">
        <v>360</v>
      </c>
      <c r="C92" s="10" t="n">
        <v>80</v>
      </c>
      <c r="D92" s="10" t="n">
        <v>7</v>
      </c>
      <c r="E92" s="10" t="n">
        <v>0.9</v>
      </c>
      <c r="F92" s="11" t="n">
        <v>1</v>
      </c>
      <c r="G92" s="11" t="n">
        <v>0.5</v>
      </c>
      <c r="H92" s="11" t="n">
        <v>0.2</v>
      </c>
      <c r="I92" s="11"/>
      <c r="J92" s="11"/>
      <c r="K92" s="11" t="n">
        <v>0</v>
      </c>
      <c r="L92" s="11" t="n">
        <v>5</v>
      </c>
      <c r="M92" s="11" t="n">
        <v>100</v>
      </c>
      <c r="N92" s="11" t="n">
        <v>10</v>
      </c>
      <c r="O92" s="11" t="n">
        <v>100</v>
      </c>
      <c r="P92" s="11" t="n">
        <v>20</v>
      </c>
      <c r="Q92" s="11" t="n">
        <v>0.5</v>
      </c>
      <c r="R92" s="11" t="n">
        <v>1</v>
      </c>
      <c r="S92" s="11" t="n">
        <v>0</v>
      </c>
      <c r="T92" s="11" t="n">
        <v>0</v>
      </c>
      <c r="U92" s="11" t="n">
        <v>0</v>
      </c>
      <c r="V92" s="11" t="n">
        <v>0.1</v>
      </c>
      <c r="W92" s="11" t="n">
        <v>0.06</v>
      </c>
      <c r="X92" s="11" t="n">
        <v>0.03</v>
      </c>
      <c r="Y92" s="11" t="n">
        <v>1.5</v>
      </c>
      <c r="Z92" s="11" t="n">
        <v>0.1</v>
      </c>
      <c r="AA92" s="11" t="n">
        <v>6</v>
      </c>
      <c r="AB92" s="11" t="n">
        <v>0</v>
      </c>
      <c r="AC92" s="12" t="s">
        <v>242</v>
      </c>
      <c r="AD92" s="12" t="s">
        <v>286</v>
      </c>
      <c r="AE92" s="12" t="s">
        <v>224</v>
      </c>
      <c r="AF92" s="12" t="s">
        <v>215</v>
      </c>
      <c r="AG92" s="12"/>
      <c r="AH92" s="12"/>
      <c r="AI92" s="12"/>
      <c r="AJ92" s="13" t="n">
        <v>0</v>
      </c>
      <c r="AK92" s="13" t="n">
        <v>0</v>
      </c>
      <c r="AL92" s="13" t="n">
        <v>0</v>
      </c>
      <c r="AM92" s="13" t="n">
        <v>0</v>
      </c>
      <c r="AN92" s="13" t="n">
        <v>0</v>
      </c>
      <c r="AO92" s="13" t="n">
        <v>0</v>
      </c>
      <c r="AP92" s="13" t="n">
        <v>0</v>
      </c>
      <c r="AQ92" s="13" t="n">
        <v>0</v>
      </c>
      <c r="AR92" s="13" t="n">
        <v>0</v>
      </c>
      <c r="AS92" s="13" t="n">
        <v>0</v>
      </c>
      <c r="AT92" s="13" t="n">
        <v>0</v>
      </c>
      <c r="AU92" s="13" t="n">
        <v>0</v>
      </c>
      <c r="AV92" s="13" t="n">
        <v>0</v>
      </c>
      <c r="AW92" s="13" t="n">
        <v>0</v>
      </c>
      <c r="AX92" s="13" t="n">
        <v>0</v>
      </c>
      <c r="AY92" s="13" t="n">
        <v>0</v>
      </c>
      <c r="AZ92" s="13" t="n">
        <v>0</v>
      </c>
      <c r="BA92" s="12" t="str">
        <f aca="false">_xlfn.TEXTJOIN(", ",TRUE(),IF(AJ92=1,"glutine",IF(AJ92=2,"glutine (tracce)","")),IF(AK92=1,"latte",IF(AK92=2,"latte (tracce)","")),IF(AL92=1,"lattosio",IF(AL92=2,"lattosio (tracce)","")),IF(AM92=1,"uova",IF(AM92=2,"uova (tracce)","")),IF(AN92=1,"pesce",IF(AN92=2,"pesce (tracce)","")),IF(AO92=1,"crostacei",IF(AO92=2,"crostacei (tracce)","")),IF(AP92=1,"molluschi",IF(AP92=2,"molluschi (tracce)","")),IF(AQ92=1,"frutta a guscio",IF(AQ92=2,"frutta a guscio (tracce)","")),IF(AR92=1,"arachidi",IF(AR92=2,"arachidi (tracce)","")),IF(AS92=1,"soia",IF(AS92=2,"soia (tracce)","")),IF(AT92=1,"sesamo",IF(AT92=2,"sesamo (tracce)","")),IF(AU92=1,"sedano",IF(AU92=2,"sedano (tracce)","")),IF(AV92=1,"senape",IF(AV92=2,"senape (tracce)","")),IF(AW92=1,"solfiti",IF(AW92=2,"solfiti (tracce)","")),IF(AX92=1,"lupini",IF(AX92=2,"lupini (tracce)","")),IF(AY92=1,"nichel",IF(AY92=2,"nichel (tracce)","")),IF(AZ92=1,"FODMAP",IF(AZ92=2,"FODMAP (tracce)","")))</f>
        <v/>
      </c>
      <c r="BB92" s="12" t="n">
        <f aca="false">ROUND(4*C92+4*D92+9*E92+2*N(F92),0)</f>
        <v>358</v>
      </c>
      <c r="BC92" s="12" t="s">
        <v>78</v>
      </c>
      <c r="BD92" s="12"/>
    </row>
    <row r="93" customFormat="false" ht="15" hidden="false" customHeight="false" outlineLevel="0" collapsed="false">
      <c r="A93" s="8" t="s">
        <v>287</v>
      </c>
      <c r="B93" s="9" t="n">
        <v>378</v>
      </c>
      <c r="C93" s="10" t="n">
        <v>84</v>
      </c>
      <c r="D93" s="10" t="n">
        <v>7</v>
      </c>
      <c r="E93" s="10" t="n">
        <v>0.9</v>
      </c>
      <c r="F93" s="11" t="n">
        <v>3</v>
      </c>
      <c r="G93" s="11" t="n">
        <v>8</v>
      </c>
      <c r="H93" s="11" t="n">
        <v>0.2</v>
      </c>
      <c r="I93" s="11"/>
      <c r="J93" s="11"/>
      <c r="K93" s="11" t="n">
        <v>0</v>
      </c>
      <c r="L93" s="11" t="n">
        <v>450</v>
      </c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2" t="s">
        <v>242</v>
      </c>
      <c r="AD93" s="12" t="s">
        <v>288</v>
      </c>
      <c r="AE93" s="12" t="s">
        <v>224</v>
      </c>
      <c r="AF93" s="12" t="s">
        <v>84</v>
      </c>
      <c r="AG93" s="12"/>
      <c r="AH93" s="12"/>
      <c r="AI93" s="12"/>
      <c r="AJ93" s="13" t="n">
        <v>1</v>
      </c>
      <c r="AK93" s="13" t="n">
        <v>0</v>
      </c>
      <c r="AL93" s="13" t="n">
        <v>0</v>
      </c>
      <c r="AM93" s="13" t="n">
        <v>0</v>
      </c>
      <c r="AN93" s="13" t="n">
        <v>0</v>
      </c>
      <c r="AO93" s="13" t="n">
        <v>0</v>
      </c>
      <c r="AP93" s="13" t="n">
        <v>0</v>
      </c>
      <c r="AQ93" s="13" t="n">
        <v>0</v>
      </c>
      <c r="AR93" s="13" t="n">
        <v>0</v>
      </c>
      <c r="AS93" s="13" t="n">
        <v>0</v>
      </c>
      <c r="AT93" s="13" t="n">
        <v>0</v>
      </c>
      <c r="AU93" s="13" t="n">
        <v>0</v>
      </c>
      <c r="AV93" s="13" t="n">
        <v>0</v>
      </c>
      <c r="AW93" s="13" t="n">
        <v>0</v>
      </c>
      <c r="AX93" s="13" t="n">
        <v>0</v>
      </c>
      <c r="AY93" s="13" t="n">
        <v>0</v>
      </c>
      <c r="AZ93" s="13" t="n">
        <v>0</v>
      </c>
      <c r="BA93" s="12" t="str">
        <f aca="false">_xlfn.TEXTJOIN(", ",TRUE(),IF(AJ93=1,"glutine",IF(AJ93=2,"glutine (tracce)","")),IF(AK93=1,"latte",IF(AK93=2,"latte (tracce)","")),IF(AL93=1,"lattosio",IF(AL93=2,"lattosio (tracce)","")),IF(AM93=1,"uova",IF(AM93=2,"uova (tracce)","")),IF(AN93=1,"pesce",IF(AN93=2,"pesce (tracce)","")),IF(AO93=1,"crostacei",IF(AO93=2,"crostacei (tracce)","")),IF(AP93=1,"molluschi",IF(AP93=2,"molluschi (tracce)","")),IF(AQ93=1,"frutta a guscio",IF(AQ93=2,"frutta a guscio (tracce)","")),IF(AR93=1,"arachidi",IF(AR93=2,"arachidi (tracce)","")),IF(AS93=1,"soia",IF(AS93=2,"soia (tracce)","")),IF(AT93=1,"sesamo",IF(AT93=2,"sesamo (tracce)","")),IF(AU93=1,"sedano",IF(AU93=2,"sedano (tracce)","")),IF(AV93=1,"senape",IF(AV93=2,"senape (tracce)","")),IF(AW93=1,"solfiti",IF(AW93=2,"solfiti (tracce)","")),IF(AX93=1,"lupini",IF(AX93=2,"lupini (tracce)","")),IF(AY93=1,"nichel",IF(AY93=2,"nichel (tracce)","")),IF(AZ93=1,"FODMAP",IF(AZ93=2,"FODMAP (tracce)","")))</f>
        <v>glutine</v>
      </c>
      <c r="BB93" s="12" t="n">
        <f aca="false">ROUND(4*C93+4*D93+9*E93+2*N(F93),0)</f>
        <v>378</v>
      </c>
      <c r="BC93" s="12" t="s">
        <v>78</v>
      </c>
      <c r="BD93" s="12" t="s">
        <v>289</v>
      </c>
    </row>
    <row r="94" customFormat="false" ht="15" hidden="false" customHeight="false" outlineLevel="0" collapsed="false">
      <c r="A94" s="8" t="s">
        <v>290</v>
      </c>
      <c r="B94" s="9" t="n">
        <v>382</v>
      </c>
      <c r="C94" s="10" t="n">
        <v>85</v>
      </c>
      <c r="D94" s="10" t="n">
        <v>6.5</v>
      </c>
      <c r="E94" s="10" t="n">
        <v>1</v>
      </c>
      <c r="F94" s="11" t="n">
        <v>1.5</v>
      </c>
      <c r="G94" s="11" t="n">
        <v>10</v>
      </c>
      <c r="H94" s="11" t="n">
        <v>0.3</v>
      </c>
      <c r="I94" s="11"/>
      <c r="J94" s="11"/>
      <c r="K94" s="11" t="n">
        <v>0</v>
      </c>
      <c r="L94" s="11" t="n">
        <v>400</v>
      </c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2" t="s">
        <v>242</v>
      </c>
      <c r="AD94" s="12" t="s">
        <v>291</v>
      </c>
      <c r="AE94" s="12" t="s">
        <v>224</v>
      </c>
      <c r="AF94" s="12" t="s">
        <v>84</v>
      </c>
      <c r="AG94" s="12"/>
      <c r="AH94" s="12"/>
      <c r="AI94" s="12"/>
      <c r="AJ94" s="13" t="n">
        <v>1</v>
      </c>
      <c r="AK94" s="13" t="n">
        <v>0</v>
      </c>
      <c r="AL94" s="13" t="n">
        <v>0</v>
      </c>
      <c r="AM94" s="13" t="n">
        <v>0</v>
      </c>
      <c r="AN94" s="13" t="n">
        <v>0</v>
      </c>
      <c r="AO94" s="13" t="n">
        <v>0</v>
      </c>
      <c r="AP94" s="13" t="n">
        <v>0</v>
      </c>
      <c r="AQ94" s="13" t="n">
        <v>0</v>
      </c>
      <c r="AR94" s="13" t="n">
        <v>0</v>
      </c>
      <c r="AS94" s="13" t="n">
        <v>0</v>
      </c>
      <c r="AT94" s="13" t="n">
        <v>0</v>
      </c>
      <c r="AU94" s="13" t="n">
        <v>0</v>
      </c>
      <c r="AV94" s="13" t="n">
        <v>0</v>
      </c>
      <c r="AW94" s="13" t="n">
        <v>0</v>
      </c>
      <c r="AX94" s="13" t="n">
        <v>0</v>
      </c>
      <c r="AY94" s="13" t="n">
        <v>0</v>
      </c>
      <c r="AZ94" s="13" t="n">
        <v>0</v>
      </c>
      <c r="BA94" s="12" t="str">
        <f aca="false">_xlfn.TEXTJOIN(", ",TRUE(),IF(AJ94=1,"glutine",IF(AJ94=2,"glutine (tracce)","")),IF(AK94=1,"latte",IF(AK94=2,"latte (tracce)","")),IF(AL94=1,"lattosio",IF(AL94=2,"lattosio (tracce)","")),IF(AM94=1,"uova",IF(AM94=2,"uova (tracce)","")),IF(AN94=1,"pesce",IF(AN94=2,"pesce (tracce)","")),IF(AO94=1,"crostacei",IF(AO94=2,"crostacei (tracce)","")),IF(AP94=1,"molluschi",IF(AP94=2,"molluschi (tracce)","")),IF(AQ94=1,"frutta a guscio",IF(AQ94=2,"frutta a guscio (tracce)","")),IF(AR94=1,"arachidi",IF(AR94=2,"arachidi (tracce)","")),IF(AS94=1,"soia",IF(AS94=2,"soia (tracce)","")),IF(AT94=1,"sesamo",IF(AT94=2,"sesamo (tracce)","")),IF(AU94=1,"sedano",IF(AU94=2,"sedano (tracce)","")),IF(AV94=1,"senape",IF(AV94=2,"senape (tracce)","")),IF(AW94=1,"solfiti",IF(AW94=2,"solfiti (tracce)","")),IF(AX94=1,"lupini",IF(AX94=2,"lupini (tracce)","")),IF(AY94=1,"nichel",IF(AY94=2,"nichel (tracce)","")),IF(AZ94=1,"FODMAP",IF(AZ94=2,"FODMAP (tracce)","")))</f>
        <v>glutine</v>
      </c>
      <c r="BB94" s="12" t="n">
        <f aca="false">ROUND(4*C94+4*D94+9*E94+2*N(F94),0)</f>
        <v>378</v>
      </c>
      <c r="BC94" s="12" t="s">
        <v>78</v>
      </c>
      <c r="BD94" s="12" t="s">
        <v>292</v>
      </c>
    </row>
    <row r="95" customFormat="false" ht="15" hidden="false" customHeight="false" outlineLevel="0" collapsed="false">
      <c r="A95" s="8" t="s">
        <v>293</v>
      </c>
      <c r="B95" s="9" t="n">
        <v>387</v>
      </c>
      <c r="C95" s="10" t="n">
        <v>82</v>
      </c>
      <c r="D95" s="10" t="n">
        <v>6</v>
      </c>
      <c r="E95" s="10" t="n">
        <v>2.5</v>
      </c>
      <c r="F95" s="11" t="n">
        <v>3</v>
      </c>
      <c r="G95" s="11" t="n">
        <v>25</v>
      </c>
      <c r="H95" s="11" t="n">
        <v>1</v>
      </c>
      <c r="I95" s="11"/>
      <c r="J95" s="11"/>
      <c r="K95" s="11" t="n">
        <v>0</v>
      </c>
      <c r="L95" s="11" t="n">
        <v>240</v>
      </c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2" t="s">
        <v>242</v>
      </c>
      <c r="AD95" s="12" t="s">
        <v>294</v>
      </c>
      <c r="AE95" s="12" t="s">
        <v>224</v>
      </c>
      <c r="AF95" s="12" t="s">
        <v>84</v>
      </c>
      <c r="AG95" s="12"/>
      <c r="AH95" s="12"/>
      <c r="AI95" s="12"/>
      <c r="AJ95" s="13" t="n">
        <v>1</v>
      </c>
      <c r="AK95" s="13" t="n">
        <v>2</v>
      </c>
      <c r="AL95" s="13" t="n">
        <v>0</v>
      </c>
      <c r="AM95" s="13" t="n">
        <v>0</v>
      </c>
      <c r="AN95" s="13" t="n">
        <v>0</v>
      </c>
      <c r="AO95" s="13" t="n">
        <v>0</v>
      </c>
      <c r="AP95" s="13" t="n">
        <v>0</v>
      </c>
      <c r="AQ95" s="13" t="n">
        <v>0</v>
      </c>
      <c r="AR95" s="13" t="n">
        <v>0</v>
      </c>
      <c r="AS95" s="13" t="n">
        <v>2</v>
      </c>
      <c r="AT95" s="13" t="n">
        <v>0</v>
      </c>
      <c r="AU95" s="13" t="n">
        <v>0</v>
      </c>
      <c r="AV95" s="13" t="n">
        <v>0</v>
      </c>
      <c r="AW95" s="13" t="n">
        <v>0</v>
      </c>
      <c r="AX95" s="13" t="n">
        <v>0</v>
      </c>
      <c r="AY95" s="13" t="n">
        <v>0</v>
      </c>
      <c r="AZ95" s="13" t="n">
        <v>0</v>
      </c>
      <c r="BA95" s="12" t="str">
        <f aca="false">_xlfn.TEXTJOIN(", ",TRUE(),IF(AJ95=1,"glutine",IF(AJ95=2,"glutine (tracce)","")),IF(AK95=1,"latte",IF(AK95=2,"latte (tracce)","")),IF(AL95=1,"lattosio",IF(AL95=2,"lattosio (tracce)","")),IF(AM95=1,"uova",IF(AM95=2,"uova (tracce)","")),IF(AN95=1,"pesce",IF(AN95=2,"pesce (tracce)","")),IF(AO95=1,"crostacei",IF(AO95=2,"crostacei (tracce)","")),IF(AP95=1,"molluschi",IF(AP95=2,"molluschi (tracce)","")),IF(AQ95=1,"frutta a guscio",IF(AQ95=2,"frutta a guscio (tracce)","")),IF(AR95=1,"arachidi",IF(AR95=2,"arachidi (tracce)","")),IF(AS95=1,"soia",IF(AS95=2,"soia (tracce)","")),IF(AT95=1,"sesamo",IF(AT95=2,"sesamo (tracce)","")),IF(AU95=1,"sedano",IF(AU95=2,"sedano (tracce)","")),IF(AV95=1,"senape",IF(AV95=2,"senape (tracce)","")),IF(AW95=1,"solfiti",IF(AW95=2,"solfiti (tracce)","")),IF(AX95=1,"lupini",IF(AX95=2,"lupini (tracce)","")),IF(AY95=1,"nichel",IF(AY95=2,"nichel (tracce)","")),IF(AZ95=1,"FODMAP",IF(AZ95=2,"FODMAP (tracce)","")))</f>
        <v>glutine, latte (tracce), soia (tracce)</v>
      </c>
      <c r="BB95" s="12" t="n">
        <f aca="false">ROUND(4*C95+4*D95+9*E95+2*N(F95),0)</f>
        <v>381</v>
      </c>
      <c r="BC95" s="12" t="s">
        <v>78</v>
      </c>
      <c r="BD95" s="12"/>
    </row>
    <row r="96" customFormat="false" ht="15" hidden="false" customHeight="false" outlineLevel="0" collapsed="false">
      <c r="A96" s="8" t="s">
        <v>295</v>
      </c>
      <c r="B96" s="9" t="n">
        <v>450</v>
      </c>
      <c r="C96" s="10" t="n">
        <v>64</v>
      </c>
      <c r="D96" s="10" t="n">
        <v>9</v>
      </c>
      <c r="E96" s="10" t="n">
        <v>16</v>
      </c>
      <c r="F96" s="11" t="n">
        <v>7</v>
      </c>
      <c r="G96" s="11" t="n">
        <v>20</v>
      </c>
      <c r="H96" s="11" t="n">
        <v>3.5</v>
      </c>
      <c r="I96" s="11"/>
      <c r="J96" s="11"/>
      <c r="K96" s="11" t="n">
        <v>0</v>
      </c>
      <c r="L96" s="11" t="n">
        <v>80</v>
      </c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2" t="s">
        <v>242</v>
      </c>
      <c r="AD96" s="12" t="s">
        <v>296</v>
      </c>
      <c r="AE96" s="12" t="s">
        <v>224</v>
      </c>
      <c r="AF96" s="12" t="s">
        <v>84</v>
      </c>
      <c r="AG96" s="12"/>
      <c r="AH96" s="12"/>
      <c r="AI96" s="12"/>
      <c r="AJ96" s="13" t="n">
        <v>1</v>
      </c>
      <c r="AK96" s="13" t="n">
        <v>0</v>
      </c>
      <c r="AL96" s="13" t="n">
        <v>0</v>
      </c>
      <c r="AM96" s="13" t="n">
        <v>0</v>
      </c>
      <c r="AN96" s="13" t="n">
        <v>0</v>
      </c>
      <c r="AO96" s="13" t="n">
        <v>0</v>
      </c>
      <c r="AP96" s="13" t="n">
        <v>0</v>
      </c>
      <c r="AQ96" s="13" t="n">
        <v>2</v>
      </c>
      <c r="AR96" s="13" t="n">
        <v>0</v>
      </c>
      <c r="AS96" s="13" t="n">
        <v>0</v>
      </c>
      <c r="AT96" s="13" t="n">
        <v>0</v>
      </c>
      <c r="AU96" s="13" t="n">
        <v>0</v>
      </c>
      <c r="AV96" s="13" t="n">
        <v>0</v>
      </c>
      <c r="AW96" s="13" t="n">
        <v>0</v>
      </c>
      <c r="AX96" s="13" t="n">
        <v>0</v>
      </c>
      <c r="AY96" s="13" t="n">
        <v>1</v>
      </c>
      <c r="AZ96" s="13" t="n">
        <v>1</v>
      </c>
      <c r="BA96" s="12" t="str">
        <f aca="false">_xlfn.TEXTJOIN(", ",TRUE(),IF(AJ96=1,"glutine",IF(AJ96=2,"glutine (tracce)","")),IF(AK96=1,"latte",IF(AK96=2,"latte (tracce)","")),IF(AL96=1,"lattosio",IF(AL96=2,"lattosio (tracce)","")),IF(AM96=1,"uova",IF(AM96=2,"uova (tracce)","")),IF(AN96=1,"pesce",IF(AN96=2,"pesce (tracce)","")),IF(AO96=1,"crostacei",IF(AO96=2,"crostacei (tracce)","")),IF(AP96=1,"molluschi",IF(AP96=2,"molluschi (tracce)","")),IF(AQ96=1,"frutta a guscio",IF(AQ96=2,"frutta a guscio (tracce)","")),IF(AR96=1,"arachidi",IF(AR96=2,"arachidi (tracce)","")),IF(AS96=1,"soia",IF(AS96=2,"soia (tracce)","")),IF(AT96=1,"sesamo",IF(AT96=2,"sesamo (tracce)","")),IF(AU96=1,"sedano",IF(AU96=2,"sedano (tracce)","")),IF(AV96=1,"senape",IF(AV96=2,"senape (tracce)","")),IF(AW96=1,"solfiti",IF(AW96=2,"solfiti (tracce)","")),IF(AX96=1,"lupini",IF(AX96=2,"lupini (tracce)","")),IF(AY96=1,"nichel",IF(AY96=2,"nichel (tracce)","")),IF(AZ96=1,"FODMAP",IF(AZ96=2,"FODMAP (tracce)","")))</f>
        <v>glutine, frutta a guscio (tracce), nichel, FODMAP</v>
      </c>
      <c r="BB96" s="12" t="n">
        <f aca="false">ROUND(4*C96+4*D96+9*E96+2*N(F96),0)</f>
        <v>450</v>
      </c>
      <c r="BC96" s="12" t="s">
        <v>78</v>
      </c>
      <c r="BD96" s="12"/>
    </row>
    <row r="97" customFormat="false" ht="15" hidden="false" customHeight="false" outlineLevel="0" collapsed="false">
      <c r="A97" s="8" t="s">
        <v>297</v>
      </c>
      <c r="B97" s="9" t="n">
        <v>360</v>
      </c>
      <c r="C97" s="10" t="n">
        <v>60</v>
      </c>
      <c r="D97" s="10" t="n">
        <v>10</v>
      </c>
      <c r="E97" s="10" t="n">
        <v>6</v>
      </c>
      <c r="F97" s="11" t="n">
        <v>8</v>
      </c>
      <c r="G97" s="11" t="n">
        <v>18</v>
      </c>
      <c r="H97" s="11" t="n">
        <v>1</v>
      </c>
      <c r="I97" s="11"/>
      <c r="J97" s="11"/>
      <c r="K97" s="11" t="n">
        <v>0</v>
      </c>
      <c r="L97" s="11" t="n">
        <v>30</v>
      </c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2" t="s">
        <v>242</v>
      </c>
      <c r="AD97" s="12" t="s">
        <v>298</v>
      </c>
      <c r="AE97" s="12" t="s">
        <v>224</v>
      </c>
      <c r="AF97" s="12" t="s">
        <v>84</v>
      </c>
      <c r="AG97" s="12"/>
      <c r="AH97" s="12"/>
      <c r="AI97" s="12"/>
      <c r="AJ97" s="13" t="n">
        <v>1</v>
      </c>
      <c r="AK97" s="13" t="n">
        <v>0</v>
      </c>
      <c r="AL97" s="13" t="n">
        <v>0</v>
      </c>
      <c r="AM97" s="13" t="n">
        <v>0</v>
      </c>
      <c r="AN97" s="13" t="n">
        <v>0</v>
      </c>
      <c r="AO97" s="13" t="n">
        <v>0</v>
      </c>
      <c r="AP97" s="13" t="n">
        <v>0</v>
      </c>
      <c r="AQ97" s="13" t="n">
        <v>2</v>
      </c>
      <c r="AR97" s="13" t="n">
        <v>0</v>
      </c>
      <c r="AS97" s="13" t="n">
        <v>0</v>
      </c>
      <c r="AT97" s="13" t="n">
        <v>0</v>
      </c>
      <c r="AU97" s="13" t="n">
        <v>0</v>
      </c>
      <c r="AV97" s="13" t="n">
        <v>0</v>
      </c>
      <c r="AW97" s="13" t="n">
        <v>0</v>
      </c>
      <c r="AX97" s="13" t="n">
        <v>0</v>
      </c>
      <c r="AY97" s="13" t="n">
        <v>1</v>
      </c>
      <c r="AZ97" s="13" t="n">
        <v>1</v>
      </c>
      <c r="BA97" s="12" t="str">
        <f aca="false">_xlfn.TEXTJOIN(", ",TRUE(),IF(AJ97=1,"glutine",IF(AJ97=2,"glutine (tracce)","")),IF(AK97=1,"latte",IF(AK97=2,"latte (tracce)","")),IF(AL97=1,"lattosio",IF(AL97=2,"lattosio (tracce)","")),IF(AM97=1,"uova",IF(AM97=2,"uova (tracce)","")),IF(AN97=1,"pesce",IF(AN97=2,"pesce (tracce)","")),IF(AO97=1,"crostacei",IF(AO97=2,"crostacei (tracce)","")),IF(AP97=1,"molluschi",IF(AP97=2,"molluschi (tracce)","")),IF(AQ97=1,"frutta a guscio",IF(AQ97=2,"frutta a guscio (tracce)","")),IF(AR97=1,"arachidi",IF(AR97=2,"arachidi (tracce)","")),IF(AS97=1,"soia",IF(AS97=2,"soia (tracce)","")),IF(AT97=1,"sesamo",IF(AT97=2,"sesamo (tracce)","")),IF(AU97=1,"sedano",IF(AU97=2,"sedano (tracce)","")),IF(AV97=1,"senape",IF(AV97=2,"senape (tracce)","")),IF(AW97=1,"solfiti",IF(AW97=2,"solfiti (tracce)","")),IF(AX97=1,"lupini",IF(AX97=2,"lupini (tracce)","")),IF(AY97=1,"nichel",IF(AY97=2,"nichel (tracce)","")),IF(AZ97=1,"FODMAP",IF(AZ97=2,"FODMAP (tracce)","")))</f>
        <v>glutine, frutta a guscio (tracce), nichel, FODMAP</v>
      </c>
      <c r="BB97" s="12" t="n">
        <f aca="false">ROUND(4*C97+4*D97+9*E97+2*N(F97),0)</f>
        <v>350</v>
      </c>
      <c r="BC97" s="12" t="s">
        <v>78</v>
      </c>
      <c r="BD97" s="12"/>
    </row>
    <row r="98" customFormat="false" ht="15" hidden="false" customHeight="false" outlineLevel="0" collapsed="false">
      <c r="A98" s="8" t="s">
        <v>299</v>
      </c>
      <c r="B98" s="9" t="n">
        <v>435</v>
      </c>
      <c r="C98" s="10" t="n">
        <v>75</v>
      </c>
      <c r="D98" s="10" t="n">
        <v>7.5</v>
      </c>
      <c r="E98" s="10" t="n">
        <v>11</v>
      </c>
      <c r="F98" s="11" t="n">
        <v>2.5</v>
      </c>
      <c r="G98" s="11" t="n">
        <v>22</v>
      </c>
      <c r="H98" s="11" t="n">
        <v>1.2</v>
      </c>
      <c r="I98" s="11"/>
      <c r="J98" s="11"/>
      <c r="K98" s="11" t="n">
        <v>0</v>
      </c>
      <c r="L98" s="11" t="n">
        <v>360</v>
      </c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2" t="s">
        <v>242</v>
      </c>
      <c r="AD98" s="12" t="s">
        <v>300</v>
      </c>
      <c r="AE98" s="12" t="s">
        <v>224</v>
      </c>
      <c r="AF98" s="12" t="s">
        <v>84</v>
      </c>
      <c r="AG98" s="12"/>
      <c r="AH98" s="12" t="n">
        <v>6</v>
      </c>
      <c r="AI98" s="12" t="s">
        <v>301</v>
      </c>
      <c r="AJ98" s="13" t="n">
        <v>1</v>
      </c>
      <c r="AK98" s="13" t="n">
        <v>1</v>
      </c>
      <c r="AL98" s="13" t="n">
        <v>0</v>
      </c>
      <c r="AM98" s="13" t="n">
        <v>2</v>
      </c>
      <c r="AN98" s="13" t="n">
        <v>0</v>
      </c>
      <c r="AO98" s="13" t="n">
        <v>0</v>
      </c>
      <c r="AP98" s="13" t="n">
        <v>0</v>
      </c>
      <c r="AQ98" s="13" t="n">
        <v>0</v>
      </c>
      <c r="AR98" s="13" t="n">
        <v>0</v>
      </c>
      <c r="AS98" s="13" t="n">
        <v>0</v>
      </c>
      <c r="AT98" s="13" t="n">
        <v>0</v>
      </c>
      <c r="AU98" s="13" t="n">
        <v>0</v>
      </c>
      <c r="AV98" s="13" t="n">
        <v>0</v>
      </c>
      <c r="AW98" s="13" t="n">
        <v>0</v>
      </c>
      <c r="AX98" s="13" t="n">
        <v>0</v>
      </c>
      <c r="AY98" s="13" t="n">
        <v>0</v>
      </c>
      <c r="AZ98" s="13" t="n">
        <v>1</v>
      </c>
      <c r="BA98" s="12" t="str">
        <f aca="false">_xlfn.TEXTJOIN(", ",TRUE(),IF(AJ98=1,"glutine",IF(AJ98=2,"glutine (tracce)","")),IF(AK98=1,"latte",IF(AK98=2,"latte (tracce)","")),IF(AL98=1,"lattosio",IF(AL98=2,"lattosio (tracce)","")),IF(AM98=1,"uova",IF(AM98=2,"uova (tracce)","")),IF(AN98=1,"pesce",IF(AN98=2,"pesce (tracce)","")),IF(AO98=1,"crostacei",IF(AO98=2,"crostacei (tracce)","")),IF(AP98=1,"molluschi",IF(AP98=2,"molluschi (tracce)","")),IF(AQ98=1,"frutta a guscio",IF(AQ98=2,"frutta a guscio (tracce)","")),IF(AR98=1,"arachidi",IF(AR98=2,"arachidi (tracce)","")),IF(AS98=1,"soia",IF(AS98=2,"soia (tracce)","")),IF(AT98=1,"sesamo",IF(AT98=2,"sesamo (tracce)","")),IF(AU98=1,"sedano",IF(AU98=2,"sedano (tracce)","")),IF(AV98=1,"senape",IF(AV98=2,"senape (tracce)","")),IF(AW98=1,"solfiti",IF(AW98=2,"solfiti (tracce)","")),IF(AX98=1,"lupini",IF(AX98=2,"lupini (tracce)","")),IF(AY98=1,"nichel",IF(AY98=2,"nichel (tracce)","")),IF(AZ98=1,"FODMAP",IF(AZ98=2,"FODMAP (tracce)","")))</f>
        <v>glutine, latte, uova (tracce), FODMAP</v>
      </c>
      <c r="BB98" s="12" t="n">
        <f aca="false">ROUND(4*C98+4*D98+9*E98+2*N(F98),0)</f>
        <v>434</v>
      </c>
      <c r="BC98" s="12" t="s">
        <v>78</v>
      </c>
      <c r="BD98" s="12"/>
    </row>
    <row r="99" customFormat="false" ht="15" hidden="false" customHeight="false" outlineLevel="0" collapsed="false">
      <c r="A99" s="8" t="s">
        <v>302</v>
      </c>
      <c r="B99" s="9" t="n">
        <v>430</v>
      </c>
      <c r="C99" s="10" t="n">
        <v>70</v>
      </c>
      <c r="D99" s="10" t="n">
        <v>10</v>
      </c>
      <c r="E99" s="10" t="n">
        <v>11</v>
      </c>
      <c r="F99" s="11" t="n">
        <v>3.5</v>
      </c>
      <c r="G99" s="11" t="n">
        <v>3</v>
      </c>
      <c r="H99" s="11" t="n">
        <v>1.2</v>
      </c>
      <c r="I99" s="11"/>
      <c r="J99" s="11"/>
      <c r="K99" s="11" t="n">
        <v>0</v>
      </c>
      <c r="L99" s="11" t="n">
        <v>1000</v>
      </c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2" t="s">
        <v>242</v>
      </c>
      <c r="AD99" s="12" t="s">
        <v>303</v>
      </c>
      <c r="AE99" s="12" t="s">
        <v>224</v>
      </c>
      <c r="AF99" s="12" t="s">
        <v>84</v>
      </c>
      <c r="AG99" s="12"/>
      <c r="AH99" s="12" t="n">
        <v>25</v>
      </c>
      <c r="AI99" s="12" t="s">
        <v>304</v>
      </c>
      <c r="AJ99" s="13" t="n">
        <v>1</v>
      </c>
      <c r="AK99" s="13" t="n">
        <v>0</v>
      </c>
      <c r="AL99" s="13" t="n">
        <v>0</v>
      </c>
      <c r="AM99" s="13" t="n">
        <v>0</v>
      </c>
      <c r="AN99" s="13" t="n">
        <v>0</v>
      </c>
      <c r="AO99" s="13" t="n">
        <v>0</v>
      </c>
      <c r="AP99" s="13" t="n">
        <v>0</v>
      </c>
      <c r="AQ99" s="13" t="n">
        <v>0</v>
      </c>
      <c r="AR99" s="13" t="n">
        <v>0</v>
      </c>
      <c r="AS99" s="13" t="n">
        <v>0</v>
      </c>
      <c r="AT99" s="13" t="n">
        <v>2</v>
      </c>
      <c r="AU99" s="13" t="n">
        <v>0</v>
      </c>
      <c r="AV99" s="13" t="n">
        <v>0</v>
      </c>
      <c r="AW99" s="13" t="n">
        <v>0</v>
      </c>
      <c r="AX99" s="13" t="n">
        <v>0</v>
      </c>
      <c r="AY99" s="13" t="n">
        <v>0</v>
      </c>
      <c r="AZ99" s="13" t="n">
        <v>1</v>
      </c>
      <c r="BA99" s="12" t="str">
        <f aca="false">_xlfn.TEXTJOIN(", ",TRUE(),IF(AJ99=1,"glutine",IF(AJ99=2,"glutine (tracce)","")),IF(AK99=1,"latte",IF(AK99=2,"latte (tracce)","")),IF(AL99=1,"lattosio",IF(AL99=2,"lattosio (tracce)","")),IF(AM99=1,"uova",IF(AM99=2,"uova (tracce)","")),IF(AN99=1,"pesce",IF(AN99=2,"pesce (tracce)","")),IF(AO99=1,"crostacei",IF(AO99=2,"crostacei (tracce)","")),IF(AP99=1,"molluschi",IF(AP99=2,"molluschi (tracce)","")),IF(AQ99=1,"frutta a guscio",IF(AQ99=2,"frutta a guscio (tracce)","")),IF(AR99=1,"arachidi",IF(AR99=2,"arachidi (tracce)","")),IF(AS99=1,"soia",IF(AS99=2,"soia (tracce)","")),IF(AT99=1,"sesamo",IF(AT99=2,"sesamo (tracce)","")),IF(AU99=1,"sedano",IF(AU99=2,"sedano (tracce)","")),IF(AV99=1,"senape",IF(AV99=2,"senape (tracce)","")),IF(AW99=1,"solfiti",IF(AW99=2,"solfiti (tracce)","")),IF(AX99=1,"lupini",IF(AX99=2,"lupini (tracce)","")),IF(AY99=1,"nichel",IF(AY99=2,"nichel (tracce)","")),IF(AZ99=1,"FODMAP",IF(AZ99=2,"FODMAP (tracce)","")))</f>
        <v>glutine, sesamo (tracce), FODMAP</v>
      </c>
      <c r="BB99" s="12" t="n">
        <f aca="false">ROUND(4*C99+4*D99+9*E99+2*N(F99),0)</f>
        <v>426</v>
      </c>
      <c r="BC99" s="12" t="s">
        <v>78</v>
      </c>
      <c r="BD99" s="12"/>
    </row>
    <row r="100" customFormat="false" ht="15" hidden="false" customHeight="false" outlineLevel="0" collapsed="false">
      <c r="A100" s="8" t="s">
        <v>305</v>
      </c>
      <c r="B100" s="9" t="n">
        <v>150</v>
      </c>
      <c r="C100" s="10" t="n">
        <v>33</v>
      </c>
      <c r="D100" s="10" t="n">
        <v>3.8</v>
      </c>
      <c r="E100" s="10" t="n">
        <v>0.4</v>
      </c>
      <c r="F100" s="11" t="n">
        <v>1.8</v>
      </c>
      <c r="G100" s="11" t="n">
        <v>0.5</v>
      </c>
      <c r="H100" s="11" t="n">
        <v>0.1</v>
      </c>
      <c r="I100" s="11"/>
      <c r="J100" s="11"/>
      <c r="K100" s="11" t="n">
        <v>0</v>
      </c>
      <c r="L100" s="11" t="n">
        <v>380</v>
      </c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2" t="s">
        <v>242</v>
      </c>
      <c r="AD100" s="12" t="s">
        <v>306</v>
      </c>
      <c r="AE100" s="12" t="s">
        <v>224</v>
      </c>
      <c r="AF100" s="12" t="s">
        <v>84</v>
      </c>
      <c r="AG100" s="12"/>
      <c r="AH100" s="12"/>
      <c r="AI100" s="12"/>
      <c r="AJ100" s="13" t="n">
        <v>1</v>
      </c>
      <c r="AK100" s="13" t="n">
        <v>0</v>
      </c>
      <c r="AL100" s="13" t="n">
        <v>0</v>
      </c>
      <c r="AM100" s="13" t="n">
        <v>2</v>
      </c>
      <c r="AN100" s="13" t="n">
        <v>0</v>
      </c>
      <c r="AO100" s="13" t="n">
        <v>0</v>
      </c>
      <c r="AP100" s="13" t="n">
        <v>0</v>
      </c>
      <c r="AQ100" s="13" t="n">
        <v>0</v>
      </c>
      <c r="AR100" s="13" t="n">
        <v>0</v>
      </c>
      <c r="AS100" s="13" t="n">
        <v>0</v>
      </c>
      <c r="AT100" s="13" t="n">
        <v>0</v>
      </c>
      <c r="AU100" s="13" t="n">
        <v>0</v>
      </c>
      <c r="AV100" s="13" t="n">
        <v>0</v>
      </c>
      <c r="AW100" s="13" t="n">
        <v>0</v>
      </c>
      <c r="AX100" s="13" t="n">
        <v>0</v>
      </c>
      <c r="AY100" s="13" t="n">
        <v>0</v>
      </c>
      <c r="AZ100" s="13" t="n">
        <v>0</v>
      </c>
      <c r="BA100" s="12" t="str">
        <f aca="false">_xlfn.TEXTJOIN(", ",TRUE(),IF(AJ100=1,"glutine",IF(AJ100=2,"glutine (tracce)","")),IF(AK100=1,"latte",IF(AK100=2,"latte (tracce)","")),IF(AL100=1,"lattosio",IF(AL100=2,"lattosio (tracce)","")),IF(AM100=1,"uova",IF(AM100=2,"uova (tracce)","")),IF(AN100=1,"pesce",IF(AN100=2,"pesce (tracce)","")),IF(AO100=1,"crostacei",IF(AO100=2,"crostacei (tracce)","")),IF(AP100=1,"molluschi",IF(AP100=2,"molluschi (tracce)","")),IF(AQ100=1,"frutta a guscio",IF(AQ100=2,"frutta a guscio (tracce)","")),IF(AR100=1,"arachidi",IF(AR100=2,"arachidi (tracce)","")),IF(AS100=1,"soia",IF(AS100=2,"soia (tracce)","")),IF(AT100=1,"sesamo",IF(AT100=2,"sesamo (tracce)","")),IF(AU100=1,"sedano",IF(AU100=2,"sedano (tracce)","")),IF(AV100=1,"senape",IF(AV100=2,"senape (tracce)","")),IF(AW100=1,"solfiti",IF(AW100=2,"solfiti (tracce)","")),IF(AX100=1,"lupini",IF(AX100=2,"lupini (tracce)","")),IF(AY100=1,"nichel",IF(AY100=2,"nichel (tracce)","")),IF(AZ100=1,"FODMAP",IF(AZ100=2,"FODMAP (tracce)","")))</f>
        <v>glutine, uova (tracce)</v>
      </c>
      <c r="BB100" s="12" t="n">
        <f aca="false">ROUND(4*C100+4*D100+9*E100+2*N(F100),0)</f>
        <v>154</v>
      </c>
      <c r="BC100" s="12" t="s">
        <v>78</v>
      </c>
      <c r="BD100" s="12"/>
    </row>
    <row r="101" customFormat="false" ht="15" hidden="false" customHeight="false" outlineLevel="0" collapsed="false">
      <c r="A101" s="14" t="s">
        <v>307</v>
      </c>
      <c r="B101" s="15" t="n">
        <v>77</v>
      </c>
      <c r="C101" s="16" t="n">
        <v>15.4</v>
      </c>
      <c r="D101" s="16" t="n">
        <v>2</v>
      </c>
      <c r="E101" s="16" t="n">
        <v>0.1</v>
      </c>
      <c r="F101" s="17" t="n">
        <v>2.2</v>
      </c>
      <c r="G101" s="17" t="n">
        <v>0.8</v>
      </c>
      <c r="H101" s="17" t="n">
        <v>0.03</v>
      </c>
      <c r="I101" s="17" t="n">
        <v>0</v>
      </c>
      <c r="J101" s="17" t="n">
        <v>0.04</v>
      </c>
      <c r="K101" s="17" t="n">
        <v>0</v>
      </c>
      <c r="L101" s="17" t="n">
        <v>6</v>
      </c>
      <c r="M101" s="17" t="n">
        <v>425</v>
      </c>
      <c r="N101" s="17" t="n">
        <v>12</v>
      </c>
      <c r="O101" s="17" t="n">
        <v>57</v>
      </c>
      <c r="P101" s="17" t="n">
        <v>23</v>
      </c>
      <c r="Q101" s="17" t="n">
        <v>0.81</v>
      </c>
      <c r="R101" s="17" t="n">
        <v>0.3</v>
      </c>
      <c r="S101" s="17" t="n">
        <v>0</v>
      </c>
      <c r="T101" s="17" t="n">
        <v>19.7</v>
      </c>
      <c r="U101" s="17" t="n">
        <v>0</v>
      </c>
      <c r="V101" s="17" t="n">
        <v>0.01</v>
      </c>
      <c r="W101" s="17" t="n">
        <v>0.08</v>
      </c>
      <c r="X101" s="17" t="n">
        <v>0.03</v>
      </c>
      <c r="Y101" s="17" t="n">
        <v>1.06</v>
      </c>
      <c r="Z101" s="17" t="n">
        <v>0.3</v>
      </c>
      <c r="AA101" s="17" t="n">
        <v>15</v>
      </c>
      <c r="AB101" s="17" t="n">
        <v>0</v>
      </c>
      <c r="AC101" s="18" t="s">
        <v>308</v>
      </c>
      <c r="AD101" s="18" t="s">
        <v>309</v>
      </c>
      <c r="AE101" s="18" t="s">
        <v>224</v>
      </c>
      <c r="AF101" s="18" t="s">
        <v>69</v>
      </c>
      <c r="AG101" s="18"/>
      <c r="AH101" s="18"/>
      <c r="AI101" s="18"/>
      <c r="AJ101" s="7" t="n">
        <v>0</v>
      </c>
      <c r="AK101" s="7" t="n">
        <v>0</v>
      </c>
      <c r="AL101" s="7" t="n">
        <v>0</v>
      </c>
      <c r="AM101" s="7" t="n">
        <v>0</v>
      </c>
      <c r="AN101" s="7" t="n">
        <v>0</v>
      </c>
      <c r="AO101" s="7" t="n">
        <v>0</v>
      </c>
      <c r="AP101" s="7" t="n">
        <v>0</v>
      </c>
      <c r="AQ101" s="7" t="n">
        <v>0</v>
      </c>
      <c r="AR101" s="7" t="n">
        <v>0</v>
      </c>
      <c r="AS101" s="7" t="n">
        <v>0</v>
      </c>
      <c r="AT101" s="7" t="n">
        <v>0</v>
      </c>
      <c r="AU101" s="7" t="n">
        <v>0</v>
      </c>
      <c r="AV101" s="7" t="n">
        <v>0</v>
      </c>
      <c r="AW101" s="7" t="n">
        <v>0</v>
      </c>
      <c r="AX101" s="7" t="n">
        <v>0</v>
      </c>
      <c r="AY101" s="7" t="n">
        <v>0</v>
      </c>
      <c r="AZ101" s="7" t="n">
        <v>0</v>
      </c>
      <c r="BA101" s="18" t="str">
        <f aca="false">_xlfn.TEXTJOIN(", ",TRUE(),IF(AJ101=1,"glutine",IF(AJ101=2,"glutine (tracce)","")),IF(AK101=1,"latte",IF(AK101=2,"latte (tracce)","")),IF(AL101=1,"lattosio",IF(AL101=2,"lattosio (tracce)","")),IF(AM101=1,"uova",IF(AM101=2,"uova (tracce)","")),IF(AN101=1,"pesce",IF(AN101=2,"pesce (tracce)","")),IF(AO101=1,"crostacei",IF(AO101=2,"crostacei (tracce)","")),IF(AP101=1,"molluschi",IF(AP101=2,"molluschi (tracce)","")),IF(AQ101=1,"frutta a guscio",IF(AQ101=2,"frutta a guscio (tracce)","")),IF(AR101=1,"arachidi",IF(AR101=2,"arachidi (tracce)","")),IF(AS101=1,"soia",IF(AS101=2,"soia (tracce)","")),IF(AT101=1,"sesamo",IF(AT101=2,"sesamo (tracce)","")),IF(AU101=1,"sedano",IF(AU101=2,"sedano (tracce)","")),IF(AV101=1,"senape",IF(AV101=2,"senape (tracce)","")),IF(AW101=1,"solfiti",IF(AW101=2,"solfiti (tracce)","")),IF(AX101=1,"lupini",IF(AX101=2,"lupini (tracce)","")),IF(AY101=1,"nichel",IF(AY101=2,"nichel (tracce)","")),IF(AZ101=1,"FODMAP",IF(AZ101=2,"FODMAP (tracce)","")))</f>
        <v/>
      </c>
      <c r="BB101" s="18" t="n">
        <f aca="false">ROUND(4*C101+4*D101+9*E101+2*N(F101),0)</f>
        <v>75</v>
      </c>
      <c r="BC101" s="18" t="s">
        <v>70</v>
      </c>
      <c r="BD101" s="18"/>
    </row>
    <row r="102" customFormat="false" ht="15" hidden="false" customHeight="false" outlineLevel="0" collapsed="false">
      <c r="A102" s="19" t="s">
        <v>310</v>
      </c>
      <c r="B102" s="20" t="n">
        <v>86</v>
      </c>
      <c r="C102" s="21" t="n">
        <v>17.1</v>
      </c>
      <c r="D102" s="21" t="n">
        <v>1.6</v>
      </c>
      <c r="E102" s="21" t="n">
        <v>0.1</v>
      </c>
      <c r="F102" s="22" t="n">
        <v>3</v>
      </c>
      <c r="G102" s="22" t="n">
        <v>4.2</v>
      </c>
      <c r="H102" s="22" t="n">
        <v>0.02</v>
      </c>
      <c r="I102" s="22" t="n">
        <v>0</v>
      </c>
      <c r="J102" s="22" t="n">
        <v>0.01</v>
      </c>
      <c r="K102" s="22" t="n">
        <v>0</v>
      </c>
      <c r="L102" s="22" t="n">
        <v>55</v>
      </c>
      <c r="M102" s="22" t="n">
        <v>337</v>
      </c>
      <c r="N102" s="22" t="n">
        <v>30</v>
      </c>
      <c r="O102" s="22" t="n">
        <v>47</v>
      </c>
      <c r="P102" s="22" t="n">
        <v>25</v>
      </c>
      <c r="Q102" s="22" t="n">
        <v>0.61</v>
      </c>
      <c r="R102" s="22" t="n">
        <v>0.3</v>
      </c>
      <c r="S102" s="22" t="n">
        <v>709</v>
      </c>
      <c r="T102" s="22" t="n">
        <v>2.4</v>
      </c>
      <c r="U102" s="22" t="n">
        <v>0</v>
      </c>
      <c r="V102" s="22" t="n">
        <v>0.26</v>
      </c>
      <c r="W102" s="22" t="n">
        <v>0.08</v>
      </c>
      <c r="X102" s="22" t="n">
        <v>0.06</v>
      </c>
      <c r="Y102" s="22" t="n">
        <v>0.56</v>
      </c>
      <c r="Z102" s="22" t="n">
        <v>0.21</v>
      </c>
      <c r="AA102" s="22" t="n">
        <v>11</v>
      </c>
      <c r="AB102" s="22" t="n">
        <v>0</v>
      </c>
      <c r="AC102" s="23" t="s">
        <v>308</v>
      </c>
      <c r="AD102" s="23" t="s">
        <v>311</v>
      </c>
      <c r="AE102" s="23" t="s">
        <v>224</v>
      </c>
      <c r="AF102" s="23" t="s">
        <v>69</v>
      </c>
      <c r="AG102" s="23"/>
      <c r="AH102" s="23"/>
      <c r="AI102" s="23"/>
      <c r="AJ102" s="13" t="n">
        <v>0</v>
      </c>
      <c r="AK102" s="13" t="n">
        <v>0</v>
      </c>
      <c r="AL102" s="13" t="n">
        <v>0</v>
      </c>
      <c r="AM102" s="13" t="n">
        <v>0</v>
      </c>
      <c r="AN102" s="13" t="n">
        <v>0</v>
      </c>
      <c r="AO102" s="13" t="n">
        <v>0</v>
      </c>
      <c r="AP102" s="13" t="n">
        <v>0</v>
      </c>
      <c r="AQ102" s="13" t="n">
        <v>0</v>
      </c>
      <c r="AR102" s="13" t="n">
        <v>0</v>
      </c>
      <c r="AS102" s="13" t="n">
        <v>0</v>
      </c>
      <c r="AT102" s="13" t="n">
        <v>0</v>
      </c>
      <c r="AU102" s="13" t="n">
        <v>0</v>
      </c>
      <c r="AV102" s="13" t="n">
        <v>0</v>
      </c>
      <c r="AW102" s="13" t="n">
        <v>0</v>
      </c>
      <c r="AX102" s="13" t="n">
        <v>0</v>
      </c>
      <c r="AY102" s="13" t="n">
        <v>0</v>
      </c>
      <c r="AZ102" s="13" t="n">
        <v>0</v>
      </c>
      <c r="BA102" s="23" t="str">
        <f aca="false">_xlfn.TEXTJOIN(", ",TRUE(),IF(AJ102=1,"glutine",IF(AJ102=2,"glutine (tracce)","")),IF(AK102=1,"latte",IF(AK102=2,"latte (tracce)","")),IF(AL102=1,"lattosio",IF(AL102=2,"lattosio (tracce)","")),IF(AM102=1,"uova",IF(AM102=2,"uova (tracce)","")),IF(AN102=1,"pesce",IF(AN102=2,"pesce (tracce)","")),IF(AO102=1,"crostacei",IF(AO102=2,"crostacei (tracce)","")),IF(AP102=1,"molluschi",IF(AP102=2,"molluschi (tracce)","")),IF(AQ102=1,"frutta a guscio",IF(AQ102=2,"frutta a guscio (tracce)","")),IF(AR102=1,"arachidi",IF(AR102=2,"arachidi (tracce)","")),IF(AS102=1,"soia",IF(AS102=2,"soia (tracce)","")),IF(AT102=1,"sesamo",IF(AT102=2,"sesamo (tracce)","")),IF(AU102=1,"sedano",IF(AU102=2,"sedano (tracce)","")),IF(AV102=1,"senape",IF(AV102=2,"senape (tracce)","")),IF(AW102=1,"solfiti",IF(AW102=2,"solfiti (tracce)","")),IF(AX102=1,"lupini",IF(AX102=2,"lupini (tracce)","")),IF(AY102=1,"nichel",IF(AY102=2,"nichel (tracce)","")),IF(AZ102=1,"FODMAP",IF(AZ102=2,"FODMAP (tracce)","")))</f>
        <v/>
      </c>
      <c r="BB102" s="23" t="n">
        <f aca="false">ROUND(4*C102+4*D102+9*E102+2*N(F102),0)</f>
        <v>82</v>
      </c>
      <c r="BC102" s="23" t="s">
        <v>70</v>
      </c>
      <c r="BD102" s="23"/>
    </row>
    <row r="103" customFormat="false" ht="15" hidden="false" customHeight="false" outlineLevel="0" collapsed="false">
      <c r="A103" s="2" t="s">
        <v>312</v>
      </c>
      <c r="B103" s="3" t="n">
        <v>89</v>
      </c>
      <c r="C103" s="4" t="n">
        <v>20.2</v>
      </c>
      <c r="D103" s="4" t="n">
        <v>1.1</v>
      </c>
      <c r="E103" s="4" t="n">
        <v>0.3</v>
      </c>
      <c r="F103" s="5" t="n">
        <v>2.6</v>
      </c>
      <c r="G103" s="5" t="n">
        <v>12.2</v>
      </c>
      <c r="H103" s="5" t="n">
        <v>0.11</v>
      </c>
      <c r="I103" s="5" t="n">
        <v>0.03</v>
      </c>
      <c r="J103" s="5" t="n">
        <v>0.07</v>
      </c>
      <c r="K103" s="5" t="n">
        <v>0</v>
      </c>
      <c r="L103" s="5" t="n">
        <v>1</v>
      </c>
      <c r="M103" s="5" t="n">
        <v>358</v>
      </c>
      <c r="N103" s="5" t="n">
        <v>5</v>
      </c>
      <c r="O103" s="5" t="n">
        <v>22</v>
      </c>
      <c r="P103" s="5" t="n">
        <v>27</v>
      </c>
      <c r="Q103" s="5" t="n">
        <v>0.26</v>
      </c>
      <c r="R103" s="5" t="n">
        <v>0.15</v>
      </c>
      <c r="S103" s="5" t="n">
        <v>3</v>
      </c>
      <c r="T103" s="5" t="n">
        <v>8.7</v>
      </c>
      <c r="U103" s="5" t="n">
        <v>0</v>
      </c>
      <c r="V103" s="5" t="n">
        <v>0.1</v>
      </c>
      <c r="W103" s="5" t="n">
        <v>0.03</v>
      </c>
      <c r="X103" s="5" t="n">
        <v>0.07</v>
      </c>
      <c r="Y103" s="5" t="n">
        <v>0.67</v>
      </c>
      <c r="Z103" s="5" t="n">
        <v>0.37</v>
      </c>
      <c r="AA103" s="5" t="n">
        <v>20</v>
      </c>
      <c r="AB103" s="5" t="n">
        <v>0</v>
      </c>
      <c r="AC103" s="6" t="s">
        <v>313</v>
      </c>
      <c r="AD103" s="6" t="s">
        <v>314</v>
      </c>
      <c r="AE103" s="6" t="s">
        <v>315</v>
      </c>
      <c r="AF103" s="6" t="s">
        <v>69</v>
      </c>
      <c r="AG103" s="6"/>
      <c r="AH103" s="6" t="n">
        <v>120</v>
      </c>
      <c r="AI103" s="6" t="s">
        <v>316</v>
      </c>
      <c r="AJ103" s="7" t="n">
        <v>0</v>
      </c>
      <c r="AK103" s="7" t="n">
        <v>0</v>
      </c>
      <c r="AL103" s="7" t="n">
        <v>0</v>
      </c>
      <c r="AM103" s="7" t="n">
        <v>0</v>
      </c>
      <c r="AN103" s="7" t="n">
        <v>0</v>
      </c>
      <c r="AO103" s="7" t="n">
        <v>0</v>
      </c>
      <c r="AP103" s="7" t="n">
        <v>0</v>
      </c>
      <c r="AQ103" s="7" t="n">
        <v>0</v>
      </c>
      <c r="AR103" s="7" t="n">
        <v>0</v>
      </c>
      <c r="AS103" s="7" t="n">
        <v>0</v>
      </c>
      <c r="AT103" s="7" t="n">
        <v>0</v>
      </c>
      <c r="AU103" s="7" t="n">
        <v>0</v>
      </c>
      <c r="AV103" s="7" t="n">
        <v>0</v>
      </c>
      <c r="AW103" s="7" t="n">
        <v>0</v>
      </c>
      <c r="AX103" s="7" t="n">
        <v>0</v>
      </c>
      <c r="AY103" s="7" t="n">
        <v>0</v>
      </c>
      <c r="AZ103" s="7" t="n">
        <v>0</v>
      </c>
      <c r="BA103" s="6" t="str">
        <f aca="false">_xlfn.TEXTJOIN(", ",TRUE(),IF(AJ103=1,"glutine",IF(AJ103=2,"glutine (tracce)","")),IF(AK103=1,"latte",IF(AK103=2,"latte (tracce)","")),IF(AL103=1,"lattosio",IF(AL103=2,"lattosio (tracce)","")),IF(AM103=1,"uova",IF(AM103=2,"uova (tracce)","")),IF(AN103=1,"pesce",IF(AN103=2,"pesce (tracce)","")),IF(AO103=1,"crostacei",IF(AO103=2,"crostacei (tracce)","")),IF(AP103=1,"molluschi",IF(AP103=2,"molluschi (tracce)","")),IF(AQ103=1,"frutta a guscio",IF(AQ103=2,"frutta a guscio (tracce)","")),IF(AR103=1,"arachidi",IF(AR103=2,"arachidi (tracce)","")),IF(AS103=1,"soia",IF(AS103=2,"soia (tracce)","")),IF(AT103=1,"sesamo",IF(AT103=2,"sesamo (tracce)","")),IF(AU103=1,"sedano",IF(AU103=2,"sedano (tracce)","")),IF(AV103=1,"senape",IF(AV103=2,"senape (tracce)","")),IF(AW103=1,"solfiti",IF(AW103=2,"solfiti (tracce)","")),IF(AX103=1,"lupini",IF(AX103=2,"lupini (tracce)","")),IF(AY103=1,"nichel",IF(AY103=2,"nichel (tracce)","")),IF(AZ103=1,"FODMAP",IF(AZ103=2,"FODMAP (tracce)","")))</f>
        <v/>
      </c>
      <c r="BB103" s="6" t="n">
        <f aca="false">ROUND(4*C103+4*D103+9*E103+2*N(F103),0)</f>
        <v>93</v>
      </c>
      <c r="BC103" s="6" t="s">
        <v>70</v>
      </c>
      <c r="BD103" s="6"/>
    </row>
    <row r="104" customFormat="false" ht="15" hidden="false" customHeight="false" outlineLevel="0" collapsed="false">
      <c r="A104" s="8" t="s">
        <v>317</v>
      </c>
      <c r="B104" s="9" t="n">
        <v>52</v>
      </c>
      <c r="C104" s="10" t="n">
        <v>11.4</v>
      </c>
      <c r="D104" s="10" t="n">
        <v>0.3</v>
      </c>
      <c r="E104" s="10" t="n">
        <v>0.2</v>
      </c>
      <c r="F104" s="11" t="n">
        <v>2.4</v>
      </c>
      <c r="G104" s="11" t="n">
        <v>10.4</v>
      </c>
      <c r="H104" s="11" t="n">
        <v>0.03</v>
      </c>
      <c r="I104" s="11" t="n">
        <v>0.01</v>
      </c>
      <c r="J104" s="11" t="n">
        <v>0.05</v>
      </c>
      <c r="K104" s="11" t="n">
        <v>0</v>
      </c>
      <c r="L104" s="11" t="n">
        <v>1</v>
      </c>
      <c r="M104" s="11" t="n">
        <v>107</v>
      </c>
      <c r="N104" s="11" t="n">
        <v>6</v>
      </c>
      <c r="O104" s="11" t="n">
        <v>11</v>
      </c>
      <c r="P104" s="11" t="n">
        <v>5</v>
      </c>
      <c r="Q104" s="11" t="n">
        <v>0.12</v>
      </c>
      <c r="R104" s="11" t="n">
        <v>0.04</v>
      </c>
      <c r="S104" s="11" t="n">
        <v>3</v>
      </c>
      <c r="T104" s="11" t="n">
        <v>4.6</v>
      </c>
      <c r="U104" s="11" t="n">
        <v>0</v>
      </c>
      <c r="V104" s="11" t="n">
        <v>0.18</v>
      </c>
      <c r="W104" s="11" t="n">
        <v>0.02</v>
      </c>
      <c r="X104" s="11" t="n">
        <v>0.03</v>
      </c>
      <c r="Y104" s="11" t="n">
        <v>0.09</v>
      </c>
      <c r="Z104" s="11" t="n">
        <v>0.04</v>
      </c>
      <c r="AA104" s="11" t="n">
        <v>3</v>
      </c>
      <c r="AB104" s="11" t="n">
        <v>0</v>
      </c>
      <c r="AC104" s="12" t="s">
        <v>313</v>
      </c>
      <c r="AD104" s="12" t="s">
        <v>318</v>
      </c>
      <c r="AE104" s="12" t="s">
        <v>315</v>
      </c>
      <c r="AF104" s="12" t="s">
        <v>69</v>
      </c>
      <c r="AG104" s="12"/>
      <c r="AH104" s="12" t="n">
        <v>160</v>
      </c>
      <c r="AI104" s="12" t="s">
        <v>319</v>
      </c>
      <c r="AJ104" s="13" t="n">
        <v>0</v>
      </c>
      <c r="AK104" s="13" t="n">
        <v>0</v>
      </c>
      <c r="AL104" s="13" t="n">
        <v>0</v>
      </c>
      <c r="AM104" s="13" t="n">
        <v>0</v>
      </c>
      <c r="AN104" s="13" t="n">
        <v>0</v>
      </c>
      <c r="AO104" s="13" t="n">
        <v>0</v>
      </c>
      <c r="AP104" s="13" t="n">
        <v>0</v>
      </c>
      <c r="AQ104" s="13" t="n">
        <v>0</v>
      </c>
      <c r="AR104" s="13" t="n">
        <v>0</v>
      </c>
      <c r="AS104" s="13" t="n">
        <v>0</v>
      </c>
      <c r="AT104" s="13" t="n">
        <v>0</v>
      </c>
      <c r="AU104" s="13" t="n">
        <v>0</v>
      </c>
      <c r="AV104" s="13" t="n">
        <v>0</v>
      </c>
      <c r="AW104" s="13" t="n">
        <v>0</v>
      </c>
      <c r="AX104" s="13" t="n">
        <v>0</v>
      </c>
      <c r="AY104" s="13" t="n">
        <v>0</v>
      </c>
      <c r="AZ104" s="13" t="n">
        <v>1</v>
      </c>
      <c r="BA104" s="12" t="str">
        <f aca="false">_xlfn.TEXTJOIN(", ",TRUE(),IF(AJ104=1,"glutine",IF(AJ104=2,"glutine (tracce)","")),IF(AK104=1,"latte",IF(AK104=2,"latte (tracce)","")),IF(AL104=1,"lattosio",IF(AL104=2,"lattosio (tracce)","")),IF(AM104=1,"uova",IF(AM104=2,"uova (tracce)","")),IF(AN104=1,"pesce",IF(AN104=2,"pesce (tracce)","")),IF(AO104=1,"crostacei",IF(AO104=2,"crostacei (tracce)","")),IF(AP104=1,"molluschi",IF(AP104=2,"molluschi (tracce)","")),IF(AQ104=1,"frutta a guscio",IF(AQ104=2,"frutta a guscio (tracce)","")),IF(AR104=1,"arachidi",IF(AR104=2,"arachidi (tracce)","")),IF(AS104=1,"soia",IF(AS104=2,"soia (tracce)","")),IF(AT104=1,"sesamo",IF(AT104=2,"sesamo (tracce)","")),IF(AU104=1,"sedano",IF(AU104=2,"sedano (tracce)","")),IF(AV104=1,"senape",IF(AV104=2,"senape (tracce)","")),IF(AW104=1,"solfiti",IF(AW104=2,"solfiti (tracce)","")),IF(AX104=1,"lupini",IF(AX104=2,"lupini (tracce)","")),IF(AY104=1,"nichel",IF(AY104=2,"nichel (tracce)","")),IF(AZ104=1,"FODMAP",IF(AZ104=2,"FODMAP (tracce)","")))</f>
        <v>FODMAP</v>
      </c>
      <c r="BB104" s="12" t="n">
        <f aca="false">ROUND(4*C104+4*D104+9*E104+2*N(F104),0)</f>
        <v>53</v>
      </c>
      <c r="BC104" s="12" t="s">
        <v>70</v>
      </c>
      <c r="BD104" s="12"/>
    </row>
    <row r="105" customFormat="false" ht="15" hidden="false" customHeight="false" outlineLevel="0" collapsed="false">
      <c r="A105" s="8" t="s">
        <v>320</v>
      </c>
      <c r="B105" s="9" t="n">
        <v>57</v>
      </c>
      <c r="C105" s="10" t="n">
        <v>12.1</v>
      </c>
      <c r="D105" s="10" t="n">
        <v>0.4</v>
      </c>
      <c r="E105" s="10" t="n">
        <v>0.1</v>
      </c>
      <c r="F105" s="11" t="n">
        <v>3.1</v>
      </c>
      <c r="G105" s="11" t="n">
        <v>9.8</v>
      </c>
      <c r="H105" s="11" t="n">
        <v>0.02</v>
      </c>
      <c r="I105" s="11" t="n">
        <v>0.08</v>
      </c>
      <c r="J105" s="11" t="n">
        <v>0.09</v>
      </c>
      <c r="K105" s="11" t="n">
        <v>0</v>
      </c>
      <c r="L105" s="11" t="n">
        <v>1</v>
      </c>
      <c r="M105" s="11" t="n">
        <v>116</v>
      </c>
      <c r="N105" s="11" t="n">
        <v>9</v>
      </c>
      <c r="O105" s="11" t="n">
        <v>12</v>
      </c>
      <c r="P105" s="11" t="n">
        <v>7</v>
      </c>
      <c r="Q105" s="11" t="n">
        <v>0.18</v>
      </c>
      <c r="R105" s="11" t="n">
        <v>0.1</v>
      </c>
      <c r="S105" s="11" t="n">
        <v>1</v>
      </c>
      <c r="T105" s="11" t="n">
        <v>4.3</v>
      </c>
      <c r="U105" s="11" t="n">
        <v>0</v>
      </c>
      <c r="V105" s="11" t="n">
        <v>0.12</v>
      </c>
      <c r="W105" s="11" t="n">
        <v>0.01</v>
      </c>
      <c r="X105" s="11" t="n">
        <v>0.03</v>
      </c>
      <c r="Y105" s="11" t="n">
        <v>0.16</v>
      </c>
      <c r="Z105" s="11" t="n">
        <v>0.03</v>
      </c>
      <c r="AA105" s="11" t="n">
        <v>7</v>
      </c>
      <c r="AB105" s="11" t="n">
        <v>0</v>
      </c>
      <c r="AC105" s="12" t="s">
        <v>313</v>
      </c>
      <c r="AD105" s="12" t="s">
        <v>321</v>
      </c>
      <c r="AE105" s="12" t="s">
        <v>315</v>
      </c>
      <c r="AF105" s="12" t="s">
        <v>69</v>
      </c>
      <c r="AG105" s="12"/>
      <c r="AH105" s="12" t="n">
        <v>160</v>
      </c>
      <c r="AI105" s="12" t="s">
        <v>322</v>
      </c>
      <c r="AJ105" s="13" t="n">
        <v>0</v>
      </c>
      <c r="AK105" s="13" t="n">
        <v>0</v>
      </c>
      <c r="AL105" s="13" t="n">
        <v>0</v>
      </c>
      <c r="AM105" s="13" t="n">
        <v>0</v>
      </c>
      <c r="AN105" s="13" t="n">
        <v>0</v>
      </c>
      <c r="AO105" s="13" t="n">
        <v>0</v>
      </c>
      <c r="AP105" s="13" t="n">
        <v>0</v>
      </c>
      <c r="AQ105" s="13" t="n">
        <v>0</v>
      </c>
      <c r="AR105" s="13" t="n">
        <v>0</v>
      </c>
      <c r="AS105" s="13" t="n">
        <v>0</v>
      </c>
      <c r="AT105" s="13" t="n">
        <v>0</v>
      </c>
      <c r="AU105" s="13" t="n">
        <v>0</v>
      </c>
      <c r="AV105" s="13" t="n">
        <v>0</v>
      </c>
      <c r="AW105" s="13" t="n">
        <v>0</v>
      </c>
      <c r="AX105" s="13" t="n">
        <v>0</v>
      </c>
      <c r="AY105" s="13" t="n">
        <v>1</v>
      </c>
      <c r="AZ105" s="13" t="n">
        <v>1</v>
      </c>
      <c r="BA105" s="12" t="str">
        <f aca="false">_xlfn.TEXTJOIN(", ",TRUE(),IF(AJ105=1,"glutine",IF(AJ105=2,"glutine (tracce)","")),IF(AK105=1,"latte",IF(AK105=2,"latte (tracce)","")),IF(AL105=1,"lattosio",IF(AL105=2,"lattosio (tracce)","")),IF(AM105=1,"uova",IF(AM105=2,"uova (tracce)","")),IF(AN105=1,"pesce",IF(AN105=2,"pesce (tracce)","")),IF(AO105=1,"crostacei",IF(AO105=2,"crostacei (tracce)","")),IF(AP105=1,"molluschi",IF(AP105=2,"molluschi (tracce)","")),IF(AQ105=1,"frutta a guscio",IF(AQ105=2,"frutta a guscio (tracce)","")),IF(AR105=1,"arachidi",IF(AR105=2,"arachidi (tracce)","")),IF(AS105=1,"soia",IF(AS105=2,"soia (tracce)","")),IF(AT105=1,"sesamo",IF(AT105=2,"sesamo (tracce)","")),IF(AU105=1,"sedano",IF(AU105=2,"sedano (tracce)","")),IF(AV105=1,"senape",IF(AV105=2,"senape (tracce)","")),IF(AW105=1,"solfiti",IF(AW105=2,"solfiti (tracce)","")),IF(AX105=1,"lupini",IF(AX105=2,"lupini (tracce)","")),IF(AY105=1,"nichel",IF(AY105=2,"nichel (tracce)","")),IF(AZ105=1,"FODMAP",IF(AZ105=2,"FODMAP (tracce)","")))</f>
        <v>nichel, FODMAP</v>
      </c>
      <c r="BB105" s="12" t="n">
        <f aca="false">ROUND(4*C105+4*D105+9*E105+2*N(F105),0)</f>
        <v>57</v>
      </c>
      <c r="BC105" s="12" t="s">
        <v>70</v>
      </c>
      <c r="BD105" s="12"/>
    </row>
    <row r="106" customFormat="false" ht="15" hidden="false" customHeight="false" outlineLevel="0" collapsed="false">
      <c r="A106" s="8" t="s">
        <v>323</v>
      </c>
      <c r="B106" s="9" t="n">
        <v>47</v>
      </c>
      <c r="C106" s="10" t="n">
        <v>9.4</v>
      </c>
      <c r="D106" s="10" t="n">
        <v>0.9</v>
      </c>
      <c r="E106" s="10" t="n">
        <v>0.1</v>
      </c>
      <c r="F106" s="11" t="n">
        <v>2.4</v>
      </c>
      <c r="G106" s="11" t="n">
        <v>9.4</v>
      </c>
      <c r="H106" s="11" t="n">
        <v>0.02</v>
      </c>
      <c r="I106" s="11" t="n">
        <v>0.02</v>
      </c>
      <c r="J106" s="11" t="n">
        <v>0.03</v>
      </c>
      <c r="K106" s="11" t="n">
        <v>0</v>
      </c>
      <c r="L106" s="11" t="n">
        <v>0</v>
      </c>
      <c r="M106" s="11" t="n">
        <v>181</v>
      </c>
      <c r="N106" s="11" t="n">
        <v>40</v>
      </c>
      <c r="O106" s="11" t="n">
        <v>14</v>
      </c>
      <c r="P106" s="11" t="n">
        <v>10</v>
      </c>
      <c r="Q106" s="11" t="n">
        <v>0.1</v>
      </c>
      <c r="R106" s="11" t="n">
        <v>0.07</v>
      </c>
      <c r="S106" s="11" t="n">
        <v>11</v>
      </c>
      <c r="T106" s="11" t="n">
        <v>53.2</v>
      </c>
      <c r="U106" s="11" t="n">
        <v>0</v>
      </c>
      <c r="V106" s="11" t="n">
        <v>0.18</v>
      </c>
      <c r="W106" s="11" t="n">
        <v>0.09</v>
      </c>
      <c r="X106" s="11" t="n">
        <v>0.04</v>
      </c>
      <c r="Y106" s="11" t="n">
        <v>0.28</v>
      </c>
      <c r="Z106" s="11" t="n">
        <v>0.06</v>
      </c>
      <c r="AA106" s="11" t="n">
        <v>30</v>
      </c>
      <c r="AB106" s="11" t="n">
        <v>0</v>
      </c>
      <c r="AC106" s="12" t="s">
        <v>313</v>
      </c>
      <c r="AD106" s="12" t="s">
        <v>324</v>
      </c>
      <c r="AE106" s="12" t="s">
        <v>315</v>
      </c>
      <c r="AF106" s="12" t="s">
        <v>69</v>
      </c>
      <c r="AG106" s="12"/>
      <c r="AH106" s="12" t="n">
        <v>150</v>
      </c>
      <c r="AI106" s="12" t="s">
        <v>325</v>
      </c>
      <c r="AJ106" s="13" t="n">
        <v>0</v>
      </c>
      <c r="AK106" s="13" t="n">
        <v>0</v>
      </c>
      <c r="AL106" s="13" t="n">
        <v>0</v>
      </c>
      <c r="AM106" s="13" t="n">
        <v>0</v>
      </c>
      <c r="AN106" s="13" t="n">
        <v>0</v>
      </c>
      <c r="AO106" s="13" t="n">
        <v>0</v>
      </c>
      <c r="AP106" s="13" t="n">
        <v>0</v>
      </c>
      <c r="AQ106" s="13" t="n">
        <v>0</v>
      </c>
      <c r="AR106" s="13" t="n">
        <v>0</v>
      </c>
      <c r="AS106" s="13" t="n">
        <v>0</v>
      </c>
      <c r="AT106" s="13" t="n">
        <v>0</v>
      </c>
      <c r="AU106" s="13" t="n">
        <v>0</v>
      </c>
      <c r="AV106" s="13" t="n">
        <v>0</v>
      </c>
      <c r="AW106" s="13" t="n">
        <v>0</v>
      </c>
      <c r="AX106" s="13" t="n">
        <v>0</v>
      </c>
      <c r="AY106" s="13" t="n">
        <v>0</v>
      </c>
      <c r="AZ106" s="13" t="n">
        <v>0</v>
      </c>
      <c r="BA106" s="12" t="str">
        <f aca="false">_xlfn.TEXTJOIN(", ",TRUE(),IF(AJ106=1,"glutine",IF(AJ106=2,"glutine (tracce)","")),IF(AK106=1,"latte",IF(AK106=2,"latte (tracce)","")),IF(AL106=1,"lattosio",IF(AL106=2,"lattosio (tracce)","")),IF(AM106=1,"uova",IF(AM106=2,"uova (tracce)","")),IF(AN106=1,"pesce",IF(AN106=2,"pesce (tracce)","")),IF(AO106=1,"crostacei",IF(AO106=2,"crostacei (tracce)","")),IF(AP106=1,"molluschi",IF(AP106=2,"molluschi (tracce)","")),IF(AQ106=1,"frutta a guscio",IF(AQ106=2,"frutta a guscio (tracce)","")),IF(AR106=1,"arachidi",IF(AR106=2,"arachidi (tracce)","")),IF(AS106=1,"soia",IF(AS106=2,"soia (tracce)","")),IF(AT106=1,"sesamo",IF(AT106=2,"sesamo (tracce)","")),IF(AU106=1,"sedano",IF(AU106=2,"sedano (tracce)","")),IF(AV106=1,"senape",IF(AV106=2,"senape (tracce)","")),IF(AW106=1,"solfiti",IF(AW106=2,"solfiti (tracce)","")),IF(AX106=1,"lupini",IF(AX106=2,"lupini (tracce)","")),IF(AY106=1,"nichel",IF(AY106=2,"nichel (tracce)","")),IF(AZ106=1,"FODMAP",IF(AZ106=2,"FODMAP (tracce)","")))</f>
        <v/>
      </c>
      <c r="BB106" s="12" t="n">
        <f aca="false">ROUND(4*C106+4*D106+9*E106+2*N(F106),0)</f>
        <v>47</v>
      </c>
      <c r="BC106" s="12" t="s">
        <v>70</v>
      </c>
      <c r="BD106" s="12"/>
    </row>
    <row r="107" customFormat="false" ht="15" hidden="false" customHeight="false" outlineLevel="0" collapsed="false">
      <c r="A107" s="8" t="s">
        <v>326</v>
      </c>
      <c r="B107" s="9" t="n">
        <v>53</v>
      </c>
      <c r="C107" s="10" t="n">
        <v>11.5</v>
      </c>
      <c r="D107" s="10" t="n">
        <v>0.8</v>
      </c>
      <c r="E107" s="10" t="n">
        <v>0.3</v>
      </c>
      <c r="F107" s="11" t="n">
        <v>1.8</v>
      </c>
      <c r="G107" s="11" t="n">
        <v>10.6</v>
      </c>
      <c r="H107" s="11" t="n">
        <v>0.04</v>
      </c>
      <c r="I107" s="11" t="n">
        <v>0.06</v>
      </c>
      <c r="J107" s="11" t="n">
        <v>0.07</v>
      </c>
      <c r="K107" s="11" t="n">
        <v>0</v>
      </c>
      <c r="L107" s="11" t="n">
        <v>2</v>
      </c>
      <c r="M107" s="11" t="n">
        <v>166</v>
      </c>
      <c r="N107" s="11" t="n">
        <v>37</v>
      </c>
      <c r="O107" s="11" t="n">
        <v>20</v>
      </c>
      <c r="P107" s="11" t="n">
        <v>12</v>
      </c>
      <c r="Q107" s="11" t="n">
        <v>0.15</v>
      </c>
      <c r="R107" s="11" t="n">
        <v>0.07</v>
      </c>
      <c r="S107" s="11" t="n">
        <v>34</v>
      </c>
      <c r="T107" s="11" t="n">
        <v>26.7</v>
      </c>
      <c r="U107" s="11" t="n">
        <v>0</v>
      </c>
      <c r="V107" s="11" t="n">
        <v>0.2</v>
      </c>
      <c r="W107" s="11" t="n">
        <v>0.06</v>
      </c>
      <c r="X107" s="11" t="n">
        <v>0.04</v>
      </c>
      <c r="Y107" s="11" t="n">
        <v>0.38</v>
      </c>
      <c r="Z107" s="11" t="n">
        <v>0.08</v>
      </c>
      <c r="AA107" s="11" t="n">
        <v>16</v>
      </c>
      <c r="AB107" s="11" t="n">
        <v>0</v>
      </c>
      <c r="AC107" s="12" t="s">
        <v>313</v>
      </c>
      <c r="AD107" s="12" t="s">
        <v>327</v>
      </c>
      <c r="AE107" s="12" t="s">
        <v>315</v>
      </c>
      <c r="AF107" s="12" t="s">
        <v>69</v>
      </c>
      <c r="AG107" s="12"/>
      <c r="AH107" s="12" t="n">
        <v>70</v>
      </c>
      <c r="AI107" s="12" t="s">
        <v>328</v>
      </c>
      <c r="AJ107" s="13" t="n">
        <v>0</v>
      </c>
      <c r="AK107" s="13" t="n">
        <v>0</v>
      </c>
      <c r="AL107" s="13" t="n">
        <v>0</v>
      </c>
      <c r="AM107" s="13" t="n">
        <v>0</v>
      </c>
      <c r="AN107" s="13" t="n">
        <v>0</v>
      </c>
      <c r="AO107" s="13" t="n">
        <v>0</v>
      </c>
      <c r="AP107" s="13" t="n">
        <v>0</v>
      </c>
      <c r="AQ107" s="13" t="n">
        <v>0</v>
      </c>
      <c r="AR107" s="13" t="n">
        <v>0</v>
      </c>
      <c r="AS107" s="13" t="n">
        <v>0</v>
      </c>
      <c r="AT107" s="13" t="n">
        <v>0</v>
      </c>
      <c r="AU107" s="13" t="n">
        <v>0</v>
      </c>
      <c r="AV107" s="13" t="n">
        <v>0</v>
      </c>
      <c r="AW107" s="13" t="n">
        <v>0</v>
      </c>
      <c r="AX107" s="13" t="n">
        <v>0</v>
      </c>
      <c r="AY107" s="13" t="n">
        <v>0</v>
      </c>
      <c r="AZ107" s="13" t="n">
        <v>0</v>
      </c>
      <c r="BA107" s="12" t="str">
        <f aca="false">_xlfn.TEXTJOIN(", ",TRUE(),IF(AJ107=1,"glutine",IF(AJ107=2,"glutine (tracce)","")),IF(AK107=1,"latte",IF(AK107=2,"latte (tracce)","")),IF(AL107=1,"lattosio",IF(AL107=2,"lattosio (tracce)","")),IF(AM107=1,"uova",IF(AM107=2,"uova (tracce)","")),IF(AN107=1,"pesce",IF(AN107=2,"pesce (tracce)","")),IF(AO107=1,"crostacei",IF(AO107=2,"crostacei (tracce)","")),IF(AP107=1,"molluschi",IF(AP107=2,"molluschi (tracce)","")),IF(AQ107=1,"frutta a guscio",IF(AQ107=2,"frutta a guscio (tracce)","")),IF(AR107=1,"arachidi",IF(AR107=2,"arachidi (tracce)","")),IF(AS107=1,"soia",IF(AS107=2,"soia (tracce)","")),IF(AT107=1,"sesamo",IF(AT107=2,"sesamo (tracce)","")),IF(AU107=1,"sedano",IF(AU107=2,"sedano (tracce)","")),IF(AV107=1,"senape",IF(AV107=2,"senape (tracce)","")),IF(AW107=1,"solfiti",IF(AW107=2,"solfiti (tracce)","")),IF(AX107=1,"lupini",IF(AX107=2,"lupini (tracce)","")),IF(AY107=1,"nichel",IF(AY107=2,"nichel (tracce)","")),IF(AZ107=1,"FODMAP",IF(AZ107=2,"FODMAP (tracce)","")))</f>
        <v/>
      </c>
      <c r="BB107" s="12" t="n">
        <f aca="false">ROUND(4*C107+4*D107+9*E107+2*N(F107),0)</f>
        <v>56</v>
      </c>
      <c r="BC107" s="12" t="s">
        <v>70</v>
      </c>
      <c r="BD107" s="12"/>
    </row>
    <row r="108" customFormat="false" ht="15" hidden="false" customHeight="false" outlineLevel="0" collapsed="false">
      <c r="A108" s="8" t="s">
        <v>329</v>
      </c>
      <c r="B108" s="9" t="n">
        <v>50</v>
      </c>
      <c r="C108" s="10" t="n">
        <v>11.7</v>
      </c>
      <c r="D108" s="10" t="n">
        <v>0.5</v>
      </c>
      <c r="E108" s="10" t="n">
        <v>0.1</v>
      </c>
      <c r="F108" s="11" t="n">
        <v>1.4</v>
      </c>
      <c r="G108" s="11" t="n">
        <v>9.9</v>
      </c>
      <c r="H108" s="11" t="n">
        <v>0.01</v>
      </c>
      <c r="I108" s="11" t="n">
        <v>0.01</v>
      </c>
      <c r="J108" s="11" t="n">
        <v>0.04</v>
      </c>
      <c r="K108" s="11" t="n">
        <v>0</v>
      </c>
      <c r="L108" s="11" t="n">
        <v>1</v>
      </c>
      <c r="M108" s="11" t="n">
        <v>109</v>
      </c>
      <c r="N108" s="11" t="n">
        <v>13</v>
      </c>
      <c r="O108" s="11" t="n">
        <v>8</v>
      </c>
      <c r="P108" s="11" t="n">
        <v>12</v>
      </c>
      <c r="Q108" s="11" t="n">
        <v>0.29</v>
      </c>
      <c r="R108" s="11" t="n">
        <v>0.12</v>
      </c>
      <c r="S108" s="11" t="n">
        <v>3</v>
      </c>
      <c r="T108" s="11" t="n">
        <v>47.8</v>
      </c>
      <c r="U108" s="11" t="n">
        <v>0</v>
      </c>
      <c r="V108" s="11" t="n">
        <v>0.02</v>
      </c>
      <c r="W108" s="11" t="n">
        <v>0.08</v>
      </c>
      <c r="X108" s="11" t="n">
        <v>0.03</v>
      </c>
      <c r="Y108" s="11" t="n">
        <v>0.5</v>
      </c>
      <c r="Z108" s="11" t="n">
        <v>0.11</v>
      </c>
      <c r="AA108" s="11" t="n">
        <v>18</v>
      </c>
      <c r="AB108" s="11" t="n">
        <v>0</v>
      </c>
      <c r="AC108" s="12" t="s">
        <v>313</v>
      </c>
      <c r="AD108" s="12" t="s">
        <v>330</v>
      </c>
      <c r="AE108" s="12" t="s">
        <v>315</v>
      </c>
      <c r="AF108" s="12" t="s">
        <v>69</v>
      </c>
      <c r="AG108" s="12"/>
      <c r="AH108" s="12"/>
      <c r="AI108" s="12"/>
      <c r="AJ108" s="13" t="n">
        <v>0</v>
      </c>
      <c r="AK108" s="13" t="n">
        <v>0</v>
      </c>
      <c r="AL108" s="13" t="n">
        <v>0</v>
      </c>
      <c r="AM108" s="13" t="n">
        <v>0</v>
      </c>
      <c r="AN108" s="13" t="n">
        <v>0</v>
      </c>
      <c r="AO108" s="13" t="n">
        <v>0</v>
      </c>
      <c r="AP108" s="13" t="n">
        <v>0</v>
      </c>
      <c r="AQ108" s="13" t="n">
        <v>0</v>
      </c>
      <c r="AR108" s="13" t="n">
        <v>0</v>
      </c>
      <c r="AS108" s="13" t="n">
        <v>0</v>
      </c>
      <c r="AT108" s="13" t="n">
        <v>0</v>
      </c>
      <c r="AU108" s="13" t="n">
        <v>0</v>
      </c>
      <c r="AV108" s="13" t="n">
        <v>0</v>
      </c>
      <c r="AW108" s="13" t="n">
        <v>0</v>
      </c>
      <c r="AX108" s="13" t="n">
        <v>0</v>
      </c>
      <c r="AY108" s="13" t="n">
        <v>0</v>
      </c>
      <c r="AZ108" s="13" t="n">
        <v>0</v>
      </c>
      <c r="BA108" s="12" t="str">
        <f aca="false">_xlfn.TEXTJOIN(", ",TRUE(),IF(AJ108=1,"glutine",IF(AJ108=2,"glutine (tracce)","")),IF(AK108=1,"latte",IF(AK108=2,"latte (tracce)","")),IF(AL108=1,"lattosio",IF(AL108=2,"lattosio (tracce)","")),IF(AM108=1,"uova",IF(AM108=2,"uova (tracce)","")),IF(AN108=1,"pesce",IF(AN108=2,"pesce (tracce)","")),IF(AO108=1,"crostacei",IF(AO108=2,"crostacei (tracce)","")),IF(AP108=1,"molluschi",IF(AP108=2,"molluschi (tracce)","")),IF(AQ108=1,"frutta a guscio",IF(AQ108=2,"frutta a guscio (tracce)","")),IF(AR108=1,"arachidi",IF(AR108=2,"arachidi (tracce)","")),IF(AS108=1,"soia",IF(AS108=2,"soia (tracce)","")),IF(AT108=1,"sesamo",IF(AT108=2,"sesamo (tracce)","")),IF(AU108=1,"sedano",IF(AU108=2,"sedano (tracce)","")),IF(AV108=1,"senape",IF(AV108=2,"senape (tracce)","")),IF(AW108=1,"solfiti",IF(AW108=2,"solfiti (tracce)","")),IF(AX108=1,"lupini",IF(AX108=2,"lupini (tracce)","")),IF(AY108=1,"nichel",IF(AY108=2,"nichel (tracce)","")),IF(AZ108=1,"FODMAP",IF(AZ108=2,"FODMAP (tracce)","")))</f>
        <v/>
      </c>
      <c r="BB108" s="12" t="n">
        <f aca="false">ROUND(4*C108+4*D108+9*E108+2*N(F108),0)</f>
        <v>52</v>
      </c>
      <c r="BC108" s="12" t="s">
        <v>70</v>
      </c>
      <c r="BD108" s="12"/>
    </row>
    <row r="109" customFormat="false" ht="15" hidden="false" customHeight="false" outlineLevel="0" collapsed="false">
      <c r="A109" s="8" t="s">
        <v>331</v>
      </c>
      <c r="B109" s="9" t="n">
        <v>32</v>
      </c>
      <c r="C109" s="10" t="n">
        <v>5.7</v>
      </c>
      <c r="D109" s="10" t="n">
        <v>0.7</v>
      </c>
      <c r="E109" s="10" t="n">
        <v>0.3</v>
      </c>
      <c r="F109" s="11" t="n">
        <v>2</v>
      </c>
      <c r="G109" s="11" t="n">
        <v>4.9</v>
      </c>
      <c r="H109" s="11" t="n">
        <v>0.02</v>
      </c>
      <c r="I109" s="11" t="n">
        <v>0.04</v>
      </c>
      <c r="J109" s="11" t="n">
        <v>0.16</v>
      </c>
      <c r="K109" s="11" t="n">
        <v>0</v>
      </c>
      <c r="L109" s="11" t="n">
        <v>1</v>
      </c>
      <c r="M109" s="11" t="n">
        <v>153</v>
      </c>
      <c r="N109" s="11" t="n">
        <v>16</v>
      </c>
      <c r="O109" s="11" t="n">
        <v>24</v>
      </c>
      <c r="P109" s="11" t="n">
        <v>13</v>
      </c>
      <c r="Q109" s="11" t="n">
        <v>0.41</v>
      </c>
      <c r="R109" s="11" t="n">
        <v>0.14</v>
      </c>
      <c r="S109" s="11" t="n">
        <v>1</v>
      </c>
      <c r="T109" s="11" t="n">
        <v>58.8</v>
      </c>
      <c r="U109" s="11" t="n">
        <v>0</v>
      </c>
      <c r="V109" s="11" t="n">
        <v>0.29</v>
      </c>
      <c r="W109" s="11" t="n">
        <v>0.02</v>
      </c>
      <c r="X109" s="11" t="n">
        <v>0.02</v>
      </c>
      <c r="Y109" s="11" t="n">
        <v>0.39</v>
      </c>
      <c r="Z109" s="11" t="n">
        <v>0.05</v>
      </c>
      <c r="AA109" s="11" t="n">
        <v>24</v>
      </c>
      <c r="AB109" s="11" t="n">
        <v>0</v>
      </c>
      <c r="AC109" s="12" t="s">
        <v>313</v>
      </c>
      <c r="AD109" s="12" t="s">
        <v>332</v>
      </c>
      <c r="AE109" s="12" t="s">
        <v>315</v>
      </c>
      <c r="AF109" s="12" t="s">
        <v>69</v>
      </c>
      <c r="AG109" s="12"/>
      <c r="AH109" s="12"/>
      <c r="AI109" s="12"/>
      <c r="AJ109" s="13" t="n">
        <v>0</v>
      </c>
      <c r="AK109" s="13" t="n">
        <v>0</v>
      </c>
      <c r="AL109" s="13" t="n">
        <v>0</v>
      </c>
      <c r="AM109" s="13" t="n">
        <v>0</v>
      </c>
      <c r="AN109" s="13" t="n">
        <v>0</v>
      </c>
      <c r="AO109" s="13" t="n">
        <v>0</v>
      </c>
      <c r="AP109" s="13" t="n">
        <v>0</v>
      </c>
      <c r="AQ109" s="13" t="n">
        <v>0</v>
      </c>
      <c r="AR109" s="13" t="n">
        <v>0</v>
      </c>
      <c r="AS109" s="13" t="n">
        <v>0</v>
      </c>
      <c r="AT109" s="13" t="n">
        <v>0</v>
      </c>
      <c r="AU109" s="13" t="n">
        <v>0</v>
      </c>
      <c r="AV109" s="13" t="n">
        <v>0</v>
      </c>
      <c r="AW109" s="13" t="n">
        <v>0</v>
      </c>
      <c r="AX109" s="13" t="n">
        <v>0</v>
      </c>
      <c r="AY109" s="13" t="n">
        <v>0</v>
      </c>
      <c r="AZ109" s="13" t="n">
        <v>0</v>
      </c>
      <c r="BA109" s="12" t="str">
        <f aca="false">_xlfn.TEXTJOIN(", ",TRUE(),IF(AJ109=1,"glutine",IF(AJ109=2,"glutine (tracce)","")),IF(AK109=1,"latte",IF(AK109=2,"latte (tracce)","")),IF(AL109=1,"lattosio",IF(AL109=2,"lattosio (tracce)","")),IF(AM109=1,"uova",IF(AM109=2,"uova (tracce)","")),IF(AN109=1,"pesce",IF(AN109=2,"pesce (tracce)","")),IF(AO109=1,"crostacei",IF(AO109=2,"crostacei (tracce)","")),IF(AP109=1,"molluschi",IF(AP109=2,"molluschi (tracce)","")),IF(AQ109=1,"frutta a guscio",IF(AQ109=2,"frutta a guscio (tracce)","")),IF(AR109=1,"arachidi",IF(AR109=2,"arachidi (tracce)","")),IF(AS109=1,"soia",IF(AS109=2,"soia (tracce)","")),IF(AT109=1,"sesamo",IF(AT109=2,"sesamo (tracce)","")),IF(AU109=1,"sedano",IF(AU109=2,"sedano (tracce)","")),IF(AV109=1,"senape",IF(AV109=2,"senape (tracce)","")),IF(AW109=1,"solfiti",IF(AW109=2,"solfiti (tracce)","")),IF(AX109=1,"lupini",IF(AX109=2,"lupini (tracce)","")),IF(AY109=1,"nichel",IF(AY109=2,"nichel (tracce)","")),IF(AZ109=1,"FODMAP",IF(AZ109=2,"FODMAP (tracce)","")))</f>
        <v/>
      </c>
      <c r="BB109" s="12" t="n">
        <f aca="false">ROUND(4*C109+4*D109+9*E109+2*N(F109),0)</f>
        <v>32</v>
      </c>
      <c r="BC109" s="12" t="s">
        <v>70</v>
      </c>
      <c r="BD109" s="12"/>
    </row>
    <row r="110" customFormat="false" ht="15" hidden="false" customHeight="false" outlineLevel="0" collapsed="false">
      <c r="A110" s="8" t="s">
        <v>333</v>
      </c>
      <c r="B110" s="9" t="n">
        <v>61</v>
      </c>
      <c r="C110" s="10" t="n">
        <v>11.7</v>
      </c>
      <c r="D110" s="10" t="n">
        <v>1.1</v>
      </c>
      <c r="E110" s="10" t="n">
        <v>0.5</v>
      </c>
      <c r="F110" s="11" t="n">
        <v>3</v>
      </c>
      <c r="G110" s="11" t="n">
        <v>9</v>
      </c>
      <c r="H110" s="11" t="n">
        <v>0.03</v>
      </c>
      <c r="I110" s="11" t="n">
        <v>0.05</v>
      </c>
      <c r="J110" s="11" t="n">
        <v>0.29</v>
      </c>
      <c r="K110" s="11" t="n">
        <v>0</v>
      </c>
      <c r="L110" s="11" t="n">
        <v>3</v>
      </c>
      <c r="M110" s="11" t="n">
        <v>312</v>
      </c>
      <c r="N110" s="11" t="n">
        <v>34</v>
      </c>
      <c r="O110" s="11" t="n">
        <v>34</v>
      </c>
      <c r="P110" s="11" t="n">
        <v>17</v>
      </c>
      <c r="Q110" s="11" t="n">
        <v>0.31</v>
      </c>
      <c r="R110" s="11" t="n">
        <v>0.14</v>
      </c>
      <c r="S110" s="11" t="n">
        <v>4</v>
      </c>
      <c r="T110" s="11" t="n">
        <v>92.7</v>
      </c>
      <c r="U110" s="11" t="n">
        <v>0</v>
      </c>
      <c r="V110" s="11" t="n">
        <v>1.46</v>
      </c>
      <c r="W110" s="11" t="n">
        <v>0.03</v>
      </c>
      <c r="X110" s="11" t="n">
        <v>0.03</v>
      </c>
      <c r="Y110" s="11" t="n">
        <v>0.34</v>
      </c>
      <c r="Z110" s="11" t="n">
        <v>0.06</v>
      </c>
      <c r="AA110" s="11" t="n">
        <v>25</v>
      </c>
      <c r="AB110" s="11" t="n">
        <v>0</v>
      </c>
      <c r="AC110" s="12" t="s">
        <v>313</v>
      </c>
      <c r="AD110" s="12" t="s">
        <v>334</v>
      </c>
      <c r="AE110" s="12" t="s">
        <v>315</v>
      </c>
      <c r="AF110" s="12" t="s">
        <v>69</v>
      </c>
      <c r="AG110" s="12"/>
      <c r="AH110" s="12" t="n">
        <v>75</v>
      </c>
      <c r="AI110" s="12" t="s">
        <v>335</v>
      </c>
      <c r="AJ110" s="13" t="n">
        <v>0</v>
      </c>
      <c r="AK110" s="13" t="n">
        <v>0</v>
      </c>
      <c r="AL110" s="13" t="n">
        <v>0</v>
      </c>
      <c r="AM110" s="13" t="n">
        <v>0</v>
      </c>
      <c r="AN110" s="13" t="n">
        <v>0</v>
      </c>
      <c r="AO110" s="13" t="n">
        <v>0</v>
      </c>
      <c r="AP110" s="13" t="n">
        <v>0</v>
      </c>
      <c r="AQ110" s="13" t="n">
        <v>0</v>
      </c>
      <c r="AR110" s="13" t="n">
        <v>0</v>
      </c>
      <c r="AS110" s="13" t="n">
        <v>0</v>
      </c>
      <c r="AT110" s="13" t="n">
        <v>0</v>
      </c>
      <c r="AU110" s="13" t="n">
        <v>0</v>
      </c>
      <c r="AV110" s="13" t="n">
        <v>0</v>
      </c>
      <c r="AW110" s="13" t="n">
        <v>0</v>
      </c>
      <c r="AX110" s="13" t="n">
        <v>0</v>
      </c>
      <c r="AY110" s="13" t="n">
        <v>1</v>
      </c>
      <c r="AZ110" s="13" t="n">
        <v>0</v>
      </c>
      <c r="BA110" s="12" t="str">
        <f aca="false">_xlfn.TEXTJOIN(", ",TRUE(),IF(AJ110=1,"glutine",IF(AJ110=2,"glutine (tracce)","")),IF(AK110=1,"latte",IF(AK110=2,"latte (tracce)","")),IF(AL110=1,"lattosio",IF(AL110=2,"lattosio (tracce)","")),IF(AM110=1,"uova",IF(AM110=2,"uova (tracce)","")),IF(AN110=1,"pesce",IF(AN110=2,"pesce (tracce)","")),IF(AO110=1,"crostacei",IF(AO110=2,"crostacei (tracce)","")),IF(AP110=1,"molluschi",IF(AP110=2,"molluschi (tracce)","")),IF(AQ110=1,"frutta a guscio",IF(AQ110=2,"frutta a guscio (tracce)","")),IF(AR110=1,"arachidi",IF(AR110=2,"arachidi (tracce)","")),IF(AS110=1,"soia",IF(AS110=2,"soia (tracce)","")),IF(AT110=1,"sesamo",IF(AT110=2,"sesamo (tracce)","")),IF(AU110=1,"sedano",IF(AU110=2,"sedano (tracce)","")),IF(AV110=1,"senape",IF(AV110=2,"senape (tracce)","")),IF(AW110=1,"solfiti",IF(AW110=2,"solfiti (tracce)","")),IF(AX110=1,"lupini",IF(AX110=2,"lupini (tracce)","")),IF(AY110=1,"nichel",IF(AY110=2,"nichel (tracce)","")),IF(AZ110=1,"FODMAP",IF(AZ110=2,"FODMAP (tracce)","")))</f>
        <v>nichel</v>
      </c>
      <c r="BB110" s="12" t="n">
        <f aca="false">ROUND(4*C110+4*D110+9*E110+2*N(F110),0)</f>
        <v>62</v>
      </c>
      <c r="BC110" s="12" t="s">
        <v>70</v>
      </c>
      <c r="BD110" s="12" t="s">
        <v>336</v>
      </c>
    </row>
    <row r="111" customFormat="false" ht="15" hidden="false" customHeight="false" outlineLevel="0" collapsed="false">
      <c r="A111" s="8" t="s">
        <v>337</v>
      </c>
      <c r="B111" s="9" t="n">
        <v>34</v>
      </c>
      <c r="C111" s="10" t="n">
        <v>7.3</v>
      </c>
      <c r="D111" s="10" t="n">
        <v>0.8</v>
      </c>
      <c r="E111" s="10" t="n">
        <v>0.2</v>
      </c>
      <c r="F111" s="11" t="n">
        <v>0.9</v>
      </c>
      <c r="G111" s="11" t="n">
        <v>7.9</v>
      </c>
      <c r="H111" s="11" t="n">
        <v>0.05</v>
      </c>
      <c r="I111" s="11" t="n">
        <v>0</v>
      </c>
      <c r="J111" s="11" t="n">
        <v>0.08</v>
      </c>
      <c r="K111" s="11" t="n">
        <v>0</v>
      </c>
      <c r="L111" s="11" t="n">
        <v>16</v>
      </c>
      <c r="M111" s="11" t="n">
        <v>267</v>
      </c>
      <c r="N111" s="11" t="n">
        <v>9</v>
      </c>
      <c r="O111" s="11" t="n">
        <v>15</v>
      </c>
      <c r="P111" s="11" t="n">
        <v>12</v>
      </c>
      <c r="Q111" s="11" t="n">
        <v>0.21</v>
      </c>
      <c r="R111" s="11" t="n">
        <v>0.18</v>
      </c>
      <c r="S111" s="11" t="n">
        <v>169</v>
      </c>
      <c r="T111" s="11" t="n">
        <v>36.7</v>
      </c>
      <c r="U111" s="11" t="n">
        <v>0</v>
      </c>
      <c r="V111" s="11" t="n">
        <v>0.05</v>
      </c>
      <c r="W111" s="11" t="n">
        <v>0.04</v>
      </c>
      <c r="X111" s="11" t="n">
        <v>0.02</v>
      </c>
      <c r="Y111" s="11" t="n">
        <v>0.73</v>
      </c>
      <c r="Z111" s="11" t="n">
        <v>0.07</v>
      </c>
      <c r="AA111" s="11" t="n">
        <v>21</v>
      </c>
      <c r="AB111" s="11" t="n">
        <v>0</v>
      </c>
      <c r="AC111" s="12" t="s">
        <v>313</v>
      </c>
      <c r="AD111" s="12" t="s">
        <v>338</v>
      </c>
      <c r="AE111" s="12" t="s">
        <v>315</v>
      </c>
      <c r="AF111" s="12" t="s">
        <v>69</v>
      </c>
      <c r="AG111" s="12"/>
      <c r="AH111" s="12"/>
      <c r="AI111" s="12"/>
      <c r="AJ111" s="13" t="n">
        <v>0</v>
      </c>
      <c r="AK111" s="13" t="n">
        <v>0</v>
      </c>
      <c r="AL111" s="13" t="n">
        <v>0</v>
      </c>
      <c r="AM111" s="13" t="n">
        <v>0</v>
      </c>
      <c r="AN111" s="13" t="n">
        <v>0</v>
      </c>
      <c r="AO111" s="13" t="n">
        <v>0</v>
      </c>
      <c r="AP111" s="13" t="n">
        <v>0</v>
      </c>
      <c r="AQ111" s="13" t="n">
        <v>0</v>
      </c>
      <c r="AR111" s="13" t="n">
        <v>0</v>
      </c>
      <c r="AS111" s="13" t="n">
        <v>0</v>
      </c>
      <c r="AT111" s="13" t="n">
        <v>0</v>
      </c>
      <c r="AU111" s="13" t="n">
        <v>0</v>
      </c>
      <c r="AV111" s="13" t="n">
        <v>0</v>
      </c>
      <c r="AW111" s="13" t="n">
        <v>0</v>
      </c>
      <c r="AX111" s="13" t="n">
        <v>0</v>
      </c>
      <c r="AY111" s="13" t="n">
        <v>0</v>
      </c>
      <c r="AZ111" s="13" t="n">
        <v>0</v>
      </c>
      <c r="BA111" s="12" t="str">
        <f aca="false">_xlfn.TEXTJOIN(", ",TRUE(),IF(AJ111=1,"glutine",IF(AJ111=2,"glutine (tracce)","")),IF(AK111=1,"latte",IF(AK111=2,"latte (tracce)","")),IF(AL111=1,"lattosio",IF(AL111=2,"lattosio (tracce)","")),IF(AM111=1,"uova",IF(AM111=2,"uova (tracce)","")),IF(AN111=1,"pesce",IF(AN111=2,"pesce (tracce)","")),IF(AO111=1,"crostacei",IF(AO111=2,"crostacei (tracce)","")),IF(AP111=1,"molluschi",IF(AP111=2,"molluschi (tracce)","")),IF(AQ111=1,"frutta a guscio",IF(AQ111=2,"frutta a guscio (tracce)","")),IF(AR111=1,"arachidi",IF(AR111=2,"arachidi (tracce)","")),IF(AS111=1,"soia",IF(AS111=2,"soia (tracce)","")),IF(AT111=1,"sesamo",IF(AT111=2,"sesamo (tracce)","")),IF(AU111=1,"sedano",IF(AU111=2,"sedano (tracce)","")),IF(AV111=1,"senape",IF(AV111=2,"senape (tracce)","")),IF(AW111=1,"solfiti",IF(AW111=2,"solfiti (tracce)","")),IF(AX111=1,"lupini",IF(AX111=2,"lupini (tracce)","")),IF(AY111=1,"nichel",IF(AY111=2,"nichel (tracce)","")),IF(AZ111=1,"FODMAP",IF(AZ111=2,"FODMAP (tracce)","")))</f>
        <v/>
      </c>
      <c r="BB111" s="12" t="n">
        <f aca="false">ROUND(4*C111+4*D111+9*E111+2*N(F111),0)</f>
        <v>36</v>
      </c>
      <c r="BC111" s="12" t="s">
        <v>70</v>
      </c>
      <c r="BD111" s="12"/>
    </row>
    <row r="112" customFormat="false" ht="15" hidden="false" customHeight="false" outlineLevel="0" collapsed="false">
      <c r="A112" s="8" t="s">
        <v>339</v>
      </c>
      <c r="B112" s="9" t="n">
        <v>30</v>
      </c>
      <c r="C112" s="10" t="n">
        <v>7.2</v>
      </c>
      <c r="D112" s="10" t="n">
        <v>0.6</v>
      </c>
      <c r="E112" s="10" t="n">
        <v>0.2</v>
      </c>
      <c r="F112" s="11" t="n">
        <v>0.4</v>
      </c>
      <c r="G112" s="11" t="n">
        <v>6.2</v>
      </c>
      <c r="H112" s="11" t="n">
        <v>0.02</v>
      </c>
      <c r="I112" s="11" t="n">
        <v>0.04</v>
      </c>
      <c r="J112" s="11" t="n">
        <v>0.05</v>
      </c>
      <c r="K112" s="11" t="n">
        <v>0</v>
      </c>
      <c r="L112" s="11" t="n">
        <v>1</v>
      </c>
      <c r="M112" s="11" t="n">
        <v>112</v>
      </c>
      <c r="N112" s="11" t="n">
        <v>7</v>
      </c>
      <c r="O112" s="11" t="n">
        <v>11</v>
      </c>
      <c r="P112" s="11" t="n">
        <v>10</v>
      </c>
      <c r="Q112" s="11" t="n">
        <v>0.24</v>
      </c>
      <c r="R112" s="11" t="n">
        <v>0.1</v>
      </c>
      <c r="S112" s="11" t="n">
        <v>28</v>
      </c>
      <c r="T112" s="11" t="n">
        <v>8.1</v>
      </c>
      <c r="U112" s="11" t="n">
        <v>0</v>
      </c>
      <c r="V112" s="11" t="n">
        <v>0.05</v>
      </c>
      <c r="W112" s="11" t="n">
        <v>0.03</v>
      </c>
      <c r="X112" s="11" t="n">
        <v>0.02</v>
      </c>
      <c r="Y112" s="11" t="n">
        <v>0.18</v>
      </c>
      <c r="Z112" s="11" t="n">
        <v>0.05</v>
      </c>
      <c r="AA112" s="11" t="n">
        <v>3</v>
      </c>
      <c r="AB112" s="11" t="n">
        <v>0</v>
      </c>
      <c r="AC112" s="12" t="s">
        <v>313</v>
      </c>
      <c r="AD112" s="12" t="s">
        <v>340</v>
      </c>
      <c r="AE112" s="12" t="s">
        <v>315</v>
      </c>
      <c r="AF112" s="12" t="s">
        <v>69</v>
      </c>
      <c r="AG112" s="12"/>
      <c r="AH112" s="12"/>
      <c r="AI112" s="12"/>
      <c r="AJ112" s="13" t="n">
        <v>0</v>
      </c>
      <c r="AK112" s="13" t="n">
        <v>0</v>
      </c>
      <c r="AL112" s="13" t="n">
        <v>0</v>
      </c>
      <c r="AM112" s="13" t="n">
        <v>0</v>
      </c>
      <c r="AN112" s="13" t="n">
        <v>0</v>
      </c>
      <c r="AO112" s="13" t="n">
        <v>0</v>
      </c>
      <c r="AP112" s="13" t="n">
        <v>0</v>
      </c>
      <c r="AQ112" s="13" t="n">
        <v>0</v>
      </c>
      <c r="AR112" s="13" t="n">
        <v>0</v>
      </c>
      <c r="AS112" s="13" t="n">
        <v>0</v>
      </c>
      <c r="AT112" s="13" t="n">
        <v>0</v>
      </c>
      <c r="AU112" s="13" t="n">
        <v>0</v>
      </c>
      <c r="AV112" s="13" t="n">
        <v>0</v>
      </c>
      <c r="AW112" s="13" t="n">
        <v>0</v>
      </c>
      <c r="AX112" s="13" t="n">
        <v>0</v>
      </c>
      <c r="AY112" s="13" t="n">
        <v>0</v>
      </c>
      <c r="AZ112" s="13" t="n">
        <v>1</v>
      </c>
      <c r="BA112" s="12" t="str">
        <f aca="false">_xlfn.TEXTJOIN(", ",TRUE(),IF(AJ112=1,"glutine",IF(AJ112=2,"glutine (tracce)","")),IF(AK112=1,"latte",IF(AK112=2,"latte (tracce)","")),IF(AL112=1,"lattosio",IF(AL112=2,"lattosio (tracce)","")),IF(AM112=1,"uova",IF(AM112=2,"uova (tracce)","")),IF(AN112=1,"pesce",IF(AN112=2,"pesce (tracce)","")),IF(AO112=1,"crostacei",IF(AO112=2,"crostacei (tracce)","")),IF(AP112=1,"molluschi",IF(AP112=2,"molluschi (tracce)","")),IF(AQ112=1,"frutta a guscio",IF(AQ112=2,"frutta a guscio (tracce)","")),IF(AR112=1,"arachidi",IF(AR112=2,"arachidi (tracce)","")),IF(AS112=1,"soia",IF(AS112=2,"soia (tracce)","")),IF(AT112=1,"sesamo",IF(AT112=2,"sesamo (tracce)","")),IF(AU112=1,"sedano",IF(AU112=2,"sedano (tracce)","")),IF(AV112=1,"senape",IF(AV112=2,"senape (tracce)","")),IF(AW112=1,"solfiti",IF(AW112=2,"solfiti (tracce)","")),IF(AX112=1,"lupini",IF(AX112=2,"lupini (tracce)","")),IF(AY112=1,"nichel",IF(AY112=2,"nichel (tracce)","")),IF(AZ112=1,"FODMAP",IF(AZ112=2,"FODMAP (tracce)","")))</f>
        <v>FODMAP</v>
      </c>
      <c r="BB112" s="12" t="n">
        <f aca="false">ROUND(4*C112+4*D112+9*E112+2*N(F112),0)</f>
        <v>34</v>
      </c>
      <c r="BC112" s="12" t="s">
        <v>70</v>
      </c>
      <c r="BD112" s="12"/>
    </row>
    <row r="113" customFormat="false" ht="15" hidden="false" customHeight="false" outlineLevel="0" collapsed="false">
      <c r="A113" s="8" t="s">
        <v>341</v>
      </c>
      <c r="B113" s="9" t="n">
        <v>69</v>
      </c>
      <c r="C113" s="10" t="n">
        <v>17.2</v>
      </c>
      <c r="D113" s="10" t="n">
        <v>0.7</v>
      </c>
      <c r="E113" s="10" t="n">
        <v>0.2</v>
      </c>
      <c r="F113" s="11" t="n">
        <v>0.9</v>
      </c>
      <c r="G113" s="11" t="n">
        <v>15.5</v>
      </c>
      <c r="H113" s="11" t="n">
        <v>0.05</v>
      </c>
      <c r="I113" s="11" t="n">
        <v>0.01</v>
      </c>
      <c r="J113" s="11" t="n">
        <v>0.05</v>
      </c>
      <c r="K113" s="11" t="n">
        <v>0</v>
      </c>
      <c r="L113" s="11" t="n">
        <v>2</v>
      </c>
      <c r="M113" s="11" t="n">
        <v>191</v>
      </c>
      <c r="N113" s="11" t="n">
        <v>10</v>
      </c>
      <c r="O113" s="11" t="n">
        <v>20</v>
      </c>
      <c r="P113" s="11" t="n">
        <v>7</v>
      </c>
      <c r="Q113" s="11" t="n">
        <v>0.36</v>
      </c>
      <c r="R113" s="11" t="n">
        <v>0.07</v>
      </c>
      <c r="S113" s="11" t="n">
        <v>3</v>
      </c>
      <c r="T113" s="11" t="n">
        <v>3.2</v>
      </c>
      <c r="U113" s="11" t="n">
        <v>0</v>
      </c>
      <c r="V113" s="11" t="n">
        <v>0.19</v>
      </c>
      <c r="W113" s="11" t="n">
        <v>0.07</v>
      </c>
      <c r="X113" s="11" t="n">
        <v>0.07</v>
      </c>
      <c r="Y113" s="11" t="n">
        <v>0.19</v>
      </c>
      <c r="Z113" s="11" t="n">
        <v>0.09</v>
      </c>
      <c r="AA113" s="11" t="n">
        <v>2</v>
      </c>
      <c r="AB113" s="11" t="n">
        <v>0</v>
      </c>
      <c r="AC113" s="12" t="s">
        <v>313</v>
      </c>
      <c r="AD113" s="12" t="s">
        <v>342</v>
      </c>
      <c r="AE113" s="12" t="s">
        <v>315</v>
      </c>
      <c r="AF113" s="12" t="s">
        <v>69</v>
      </c>
      <c r="AG113" s="12"/>
      <c r="AH113" s="12"/>
      <c r="AI113" s="12"/>
      <c r="AJ113" s="13" t="n">
        <v>0</v>
      </c>
      <c r="AK113" s="13" t="n">
        <v>0</v>
      </c>
      <c r="AL113" s="13" t="n">
        <v>0</v>
      </c>
      <c r="AM113" s="13" t="n">
        <v>0</v>
      </c>
      <c r="AN113" s="13" t="n">
        <v>0</v>
      </c>
      <c r="AO113" s="13" t="n">
        <v>0</v>
      </c>
      <c r="AP113" s="13" t="n">
        <v>0</v>
      </c>
      <c r="AQ113" s="13" t="n">
        <v>0</v>
      </c>
      <c r="AR113" s="13" t="n">
        <v>0</v>
      </c>
      <c r="AS113" s="13" t="n">
        <v>0</v>
      </c>
      <c r="AT113" s="13" t="n">
        <v>0</v>
      </c>
      <c r="AU113" s="13" t="n">
        <v>0</v>
      </c>
      <c r="AV113" s="13" t="n">
        <v>0</v>
      </c>
      <c r="AW113" s="13" t="n">
        <v>0</v>
      </c>
      <c r="AX113" s="13" t="n">
        <v>0</v>
      </c>
      <c r="AY113" s="13" t="n">
        <v>0</v>
      </c>
      <c r="AZ113" s="13" t="n">
        <v>0</v>
      </c>
      <c r="BA113" s="12" t="str">
        <f aca="false">_xlfn.TEXTJOIN(", ",TRUE(),IF(AJ113=1,"glutine",IF(AJ113=2,"glutine (tracce)","")),IF(AK113=1,"latte",IF(AK113=2,"latte (tracce)","")),IF(AL113=1,"lattosio",IF(AL113=2,"lattosio (tracce)","")),IF(AM113=1,"uova",IF(AM113=2,"uova (tracce)","")),IF(AN113=1,"pesce",IF(AN113=2,"pesce (tracce)","")),IF(AO113=1,"crostacei",IF(AO113=2,"crostacei (tracce)","")),IF(AP113=1,"molluschi",IF(AP113=2,"molluschi (tracce)","")),IF(AQ113=1,"frutta a guscio",IF(AQ113=2,"frutta a guscio (tracce)","")),IF(AR113=1,"arachidi",IF(AR113=2,"arachidi (tracce)","")),IF(AS113=1,"soia",IF(AS113=2,"soia (tracce)","")),IF(AT113=1,"sesamo",IF(AT113=2,"sesamo (tracce)","")),IF(AU113=1,"sedano",IF(AU113=2,"sedano (tracce)","")),IF(AV113=1,"senape",IF(AV113=2,"senape (tracce)","")),IF(AW113=1,"solfiti",IF(AW113=2,"solfiti (tracce)","")),IF(AX113=1,"lupini",IF(AX113=2,"lupini (tracce)","")),IF(AY113=1,"nichel",IF(AY113=2,"nichel (tracce)","")),IF(AZ113=1,"FODMAP",IF(AZ113=2,"FODMAP (tracce)","")))</f>
        <v/>
      </c>
      <c r="BB113" s="12" t="n">
        <f aca="false">ROUND(4*C113+4*D113+9*E113+2*N(F113),0)</f>
        <v>75</v>
      </c>
      <c r="BC113" s="12" t="s">
        <v>70</v>
      </c>
      <c r="BD113" s="12"/>
    </row>
    <row r="114" customFormat="false" ht="15" hidden="false" customHeight="false" outlineLevel="0" collapsed="false">
      <c r="A114" s="8" t="s">
        <v>343</v>
      </c>
      <c r="B114" s="9" t="n">
        <v>60</v>
      </c>
      <c r="C114" s="10" t="n">
        <v>13.4</v>
      </c>
      <c r="D114" s="10" t="n">
        <v>0.8</v>
      </c>
      <c r="E114" s="10" t="n">
        <v>0.4</v>
      </c>
      <c r="F114" s="11" t="n">
        <v>1.6</v>
      </c>
      <c r="G114" s="11" t="n">
        <v>13.7</v>
      </c>
      <c r="H114" s="11" t="n">
        <v>0.09</v>
      </c>
      <c r="I114" s="11" t="n">
        <v>0.14</v>
      </c>
      <c r="J114" s="11" t="n">
        <v>0.07</v>
      </c>
      <c r="K114" s="11" t="n">
        <v>0</v>
      </c>
      <c r="L114" s="11" t="n">
        <v>1</v>
      </c>
      <c r="M114" s="11" t="n">
        <v>168</v>
      </c>
      <c r="N114" s="11" t="n">
        <v>11</v>
      </c>
      <c r="O114" s="11" t="n">
        <v>14</v>
      </c>
      <c r="P114" s="11" t="n">
        <v>10</v>
      </c>
      <c r="Q114" s="11" t="n">
        <v>0.16</v>
      </c>
      <c r="R114" s="11" t="n">
        <v>0.09</v>
      </c>
      <c r="S114" s="11" t="n">
        <v>54</v>
      </c>
      <c r="T114" s="11" t="n">
        <v>36.4</v>
      </c>
      <c r="U114" s="11" t="n">
        <v>0</v>
      </c>
      <c r="V114" s="11" t="n">
        <v>0.9</v>
      </c>
      <c r="W114" s="11" t="n">
        <v>0.03</v>
      </c>
      <c r="X114" s="11" t="n">
        <v>0.04</v>
      </c>
      <c r="Y114" s="11" t="n">
        <v>0.67</v>
      </c>
      <c r="Z114" s="11" t="n">
        <v>0.12</v>
      </c>
      <c r="AA114" s="11" t="n">
        <v>43</v>
      </c>
      <c r="AB114" s="11" t="n">
        <v>0</v>
      </c>
      <c r="AC114" s="12" t="s">
        <v>313</v>
      </c>
      <c r="AD114" s="12" t="s">
        <v>344</v>
      </c>
      <c r="AE114" s="12" t="s">
        <v>315</v>
      </c>
      <c r="AF114" s="12" t="s">
        <v>69</v>
      </c>
      <c r="AG114" s="12"/>
      <c r="AH114" s="12"/>
      <c r="AI114" s="12"/>
      <c r="AJ114" s="13" t="n">
        <v>0</v>
      </c>
      <c r="AK114" s="13" t="n">
        <v>0</v>
      </c>
      <c r="AL114" s="13" t="n">
        <v>0</v>
      </c>
      <c r="AM114" s="13" t="n">
        <v>0</v>
      </c>
      <c r="AN114" s="13" t="n">
        <v>0</v>
      </c>
      <c r="AO114" s="13" t="n">
        <v>0</v>
      </c>
      <c r="AP114" s="13" t="n">
        <v>0</v>
      </c>
      <c r="AQ114" s="13" t="n">
        <v>0</v>
      </c>
      <c r="AR114" s="13" t="n">
        <v>0</v>
      </c>
      <c r="AS114" s="13" t="n">
        <v>0</v>
      </c>
      <c r="AT114" s="13" t="n">
        <v>0</v>
      </c>
      <c r="AU114" s="13" t="n">
        <v>0</v>
      </c>
      <c r="AV114" s="13" t="n">
        <v>0</v>
      </c>
      <c r="AW114" s="13" t="n">
        <v>0</v>
      </c>
      <c r="AX114" s="13" t="n">
        <v>0</v>
      </c>
      <c r="AY114" s="13" t="n">
        <v>0</v>
      </c>
      <c r="AZ114" s="13" t="n">
        <v>1</v>
      </c>
      <c r="BA114" s="12" t="str">
        <f aca="false">_xlfn.TEXTJOIN(", ",TRUE(),IF(AJ114=1,"glutine",IF(AJ114=2,"glutine (tracce)","")),IF(AK114=1,"latte",IF(AK114=2,"latte (tracce)","")),IF(AL114=1,"lattosio",IF(AL114=2,"lattosio (tracce)","")),IF(AM114=1,"uova",IF(AM114=2,"uova (tracce)","")),IF(AN114=1,"pesce",IF(AN114=2,"pesce (tracce)","")),IF(AO114=1,"crostacei",IF(AO114=2,"crostacei (tracce)","")),IF(AP114=1,"molluschi",IF(AP114=2,"molluschi (tracce)","")),IF(AQ114=1,"frutta a guscio",IF(AQ114=2,"frutta a guscio (tracce)","")),IF(AR114=1,"arachidi",IF(AR114=2,"arachidi (tracce)","")),IF(AS114=1,"soia",IF(AS114=2,"soia (tracce)","")),IF(AT114=1,"sesamo",IF(AT114=2,"sesamo (tracce)","")),IF(AU114=1,"sedano",IF(AU114=2,"sedano (tracce)","")),IF(AV114=1,"senape",IF(AV114=2,"senape (tracce)","")),IF(AW114=1,"solfiti",IF(AW114=2,"solfiti (tracce)","")),IF(AX114=1,"lupini",IF(AX114=2,"lupini (tracce)","")),IF(AY114=1,"nichel",IF(AY114=2,"nichel (tracce)","")),IF(AZ114=1,"FODMAP",IF(AZ114=2,"FODMAP (tracce)","")))</f>
        <v>FODMAP</v>
      </c>
      <c r="BB114" s="12" t="n">
        <f aca="false">ROUND(4*C114+4*D114+9*E114+2*N(F114),0)</f>
        <v>64</v>
      </c>
      <c r="BC114" s="12" t="s">
        <v>70</v>
      </c>
      <c r="BD114" s="12"/>
    </row>
    <row r="115" customFormat="false" ht="15" hidden="false" customHeight="false" outlineLevel="0" collapsed="false">
      <c r="A115" s="8" t="s">
        <v>345</v>
      </c>
      <c r="B115" s="9" t="n">
        <v>57</v>
      </c>
      <c r="C115" s="10" t="n">
        <v>12.1</v>
      </c>
      <c r="D115" s="10" t="n">
        <v>0.7</v>
      </c>
      <c r="E115" s="10" t="n">
        <v>0.3</v>
      </c>
      <c r="F115" s="11" t="n">
        <v>2.4</v>
      </c>
      <c r="G115" s="11" t="n">
        <v>10</v>
      </c>
      <c r="H115" s="11" t="n">
        <v>0.03</v>
      </c>
      <c r="I115" s="11" t="n">
        <v>0.05</v>
      </c>
      <c r="J115" s="11" t="n">
        <v>0.15</v>
      </c>
      <c r="K115" s="11" t="n">
        <v>0</v>
      </c>
      <c r="L115" s="11" t="n">
        <v>1</v>
      </c>
      <c r="M115" s="11" t="n">
        <v>77</v>
      </c>
      <c r="N115" s="11" t="n">
        <v>6</v>
      </c>
      <c r="O115" s="11" t="n">
        <v>12</v>
      </c>
      <c r="P115" s="11" t="n">
        <v>6</v>
      </c>
      <c r="Q115" s="11" t="n">
        <v>0.28</v>
      </c>
      <c r="R115" s="11" t="n">
        <v>0.16</v>
      </c>
      <c r="S115" s="11" t="n">
        <v>3</v>
      </c>
      <c r="T115" s="11" t="n">
        <v>9.7</v>
      </c>
      <c r="U115" s="11" t="n">
        <v>0</v>
      </c>
      <c r="V115" s="11" t="n">
        <v>0.57</v>
      </c>
      <c r="W115" s="11" t="n">
        <v>0.04</v>
      </c>
      <c r="X115" s="11" t="n">
        <v>0.04</v>
      </c>
      <c r="Y115" s="11" t="n">
        <v>0.42</v>
      </c>
      <c r="Z115" s="11" t="n">
        <v>0.05</v>
      </c>
      <c r="AA115" s="11" t="n">
        <v>6</v>
      </c>
      <c r="AB115" s="11" t="n">
        <v>0</v>
      </c>
      <c r="AC115" s="12" t="s">
        <v>313</v>
      </c>
      <c r="AD115" s="12" t="s">
        <v>346</v>
      </c>
      <c r="AE115" s="12" t="s">
        <v>315</v>
      </c>
      <c r="AF115" s="12" t="s">
        <v>69</v>
      </c>
      <c r="AG115" s="12"/>
      <c r="AH115" s="12"/>
      <c r="AI115" s="12"/>
      <c r="AJ115" s="13" t="n">
        <v>0</v>
      </c>
      <c r="AK115" s="13" t="n">
        <v>0</v>
      </c>
      <c r="AL115" s="13" t="n">
        <v>0</v>
      </c>
      <c r="AM115" s="13" t="n">
        <v>0</v>
      </c>
      <c r="AN115" s="13" t="n">
        <v>0</v>
      </c>
      <c r="AO115" s="13" t="n">
        <v>0</v>
      </c>
      <c r="AP115" s="13" t="n">
        <v>0</v>
      </c>
      <c r="AQ115" s="13" t="n">
        <v>0</v>
      </c>
      <c r="AR115" s="13" t="n">
        <v>0</v>
      </c>
      <c r="AS115" s="13" t="n">
        <v>0</v>
      </c>
      <c r="AT115" s="13" t="n">
        <v>0</v>
      </c>
      <c r="AU115" s="13" t="n">
        <v>0</v>
      </c>
      <c r="AV115" s="13" t="n">
        <v>0</v>
      </c>
      <c r="AW115" s="13" t="n">
        <v>0</v>
      </c>
      <c r="AX115" s="13" t="n">
        <v>0</v>
      </c>
      <c r="AY115" s="13" t="n">
        <v>0</v>
      </c>
      <c r="AZ115" s="13" t="n">
        <v>0</v>
      </c>
      <c r="BA115" s="12" t="str">
        <f aca="false">_xlfn.TEXTJOIN(", ",TRUE(),IF(AJ115=1,"glutine",IF(AJ115=2,"glutine (tracce)","")),IF(AK115=1,"latte",IF(AK115=2,"latte (tracce)","")),IF(AL115=1,"lattosio",IF(AL115=2,"lattosio (tracce)","")),IF(AM115=1,"uova",IF(AM115=2,"uova (tracce)","")),IF(AN115=1,"pesce",IF(AN115=2,"pesce (tracce)","")),IF(AO115=1,"crostacei",IF(AO115=2,"crostacei (tracce)","")),IF(AP115=1,"molluschi",IF(AP115=2,"molluschi (tracce)","")),IF(AQ115=1,"frutta a guscio",IF(AQ115=2,"frutta a guscio (tracce)","")),IF(AR115=1,"arachidi",IF(AR115=2,"arachidi (tracce)","")),IF(AS115=1,"soia",IF(AS115=2,"soia (tracce)","")),IF(AT115=1,"sesamo",IF(AT115=2,"sesamo (tracce)","")),IF(AU115=1,"sedano",IF(AU115=2,"sedano (tracce)","")),IF(AV115=1,"senape",IF(AV115=2,"senape (tracce)","")),IF(AW115=1,"solfiti",IF(AW115=2,"solfiti (tracce)","")),IF(AX115=1,"lupini",IF(AX115=2,"lupini (tracce)","")),IF(AY115=1,"nichel",IF(AY115=2,"nichel (tracce)","")),IF(AZ115=1,"FODMAP",IF(AZ115=2,"FODMAP (tracce)","")))</f>
        <v/>
      </c>
      <c r="BB115" s="12" t="n">
        <f aca="false">ROUND(4*C115+4*D115+9*E115+2*N(F115),0)</f>
        <v>59</v>
      </c>
      <c r="BC115" s="12" t="s">
        <v>70</v>
      </c>
      <c r="BD115" s="12"/>
    </row>
    <row r="116" customFormat="false" ht="15" hidden="false" customHeight="false" outlineLevel="0" collapsed="false">
      <c r="A116" s="8" t="s">
        <v>347</v>
      </c>
      <c r="B116" s="9" t="n">
        <v>52</v>
      </c>
      <c r="C116" s="10" t="n">
        <v>5.4</v>
      </c>
      <c r="D116" s="10" t="n">
        <v>1.2</v>
      </c>
      <c r="E116" s="10" t="n">
        <v>0.7</v>
      </c>
      <c r="F116" s="11" t="n">
        <v>6.5</v>
      </c>
      <c r="G116" s="11" t="n">
        <v>4.4</v>
      </c>
      <c r="H116" s="11" t="n">
        <v>0.02</v>
      </c>
      <c r="I116" s="11" t="n">
        <v>0.06</v>
      </c>
      <c r="J116" s="11" t="n">
        <v>0.38</v>
      </c>
      <c r="K116" s="11" t="n">
        <v>0</v>
      </c>
      <c r="L116" s="11" t="n">
        <v>1</v>
      </c>
      <c r="M116" s="11" t="n">
        <v>151</v>
      </c>
      <c r="N116" s="11" t="n">
        <v>25</v>
      </c>
      <c r="O116" s="11" t="n">
        <v>29</v>
      </c>
      <c r="P116" s="11" t="n">
        <v>22</v>
      </c>
      <c r="Q116" s="11" t="n">
        <v>0.69</v>
      </c>
      <c r="R116" s="11" t="n">
        <v>0.42</v>
      </c>
      <c r="S116" s="11" t="n">
        <v>2</v>
      </c>
      <c r="T116" s="11" t="n">
        <v>26.2</v>
      </c>
      <c r="U116" s="11" t="n">
        <v>0</v>
      </c>
      <c r="V116" s="11" t="n">
        <v>0.87</v>
      </c>
      <c r="W116" s="11" t="n">
        <v>0.03</v>
      </c>
      <c r="X116" s="11" t="n">
        <v>0.04</v>
      </c>
      <c r="Y116" s="11" t="n">
        <v>0.6</v>
      </c>
      <c r="Z116" s="11" t="n">
        <v>0.06</v>
      </c>
      <c r="AA116" s="11" t="n">
        <v>21</v>
      </c>
      <c r="AB116" s="11" t="n">
        <v>0</v>
      </c>
      <c r="AC116" s="12" t="s">
        <v>313</v>
      </c>
      <c r="AD116" s="12" t="s">
        <v>348</v>
      </c>
      <c r="AE116" s="12" t="s">
        <v>315</v>
      </c>
      <c r="AF116" s="12" t="s">
        <v>69</v>
      </c>
      <c r="AG116" s="12"/>
      <c r="AH116" s="12"/>
      <c r="AI116" s="12"/>
      <c r="AJ116" s="13" t="n">
        <v>0</v>
      </c>
      <c r="AK116" s="13" t="n">
        <v>0</v>
      </c>
      <c r="AL116" s="13" t="n">
        <v>0</v>
      </c>
      <c r="AM116" s="13" t="n">
        <v>0</v>
      </c>
      <c r="AN116" s="13" t="n">
        <v>0</v>
      </c>
      <c r="AO116" s="13" t="n">
        <v>0</v>
      </c>
      <c r="AP116" s="13" t="n">
        <v>0</v>
      </c>
      <c r="AQ116" s="13" t="n">
        <v>0</v>
      </c>
      <c r="AR116" s="13" t="n">
        <v>0</v>
      </c>
      <c r="AS116" s="13" t="n">
        <v>0</v>
      </c>
      <c r="AT116" s="13" t="n">
        <v>0</v>
      </c>
      <c r="AU116" s="13" t="n">
        <v>0</v>
      </c>
      <c r="AV116" s="13" t="n">
        <v>0</v>
      </c>
      <c r="AW116" s="13" t="n">
        <v>0</v>
      </c>
      <c r="AX116" s="13" t="n">
        <v>0</v>
      </c>
      <c r="AY116" s="13" t="n">
        <v>1</v>
      </c>
      <c r="AZ116" s="13" t="n">
        <v>0</v>
      </c>
      <c r="BA116" s="12" t="str">
        <f aca="false">_xlfn.TEXTJOIN(", ",TRUE(),IF(AJ116=1,"glutine",IF(AJ116=2,"glutine (tracce)","")),IF(AK116=1,"latte",IF(AK116=2,"latte (tracce)","")),IF(AL116=1,"lattosio",IF(AL116=2,"lattosio (tracce)","")),IF(AM116=1,"uova",IF(AM116=2,"uova (tracce)","")),IF(AN116=1,"pesce",IF(AN116=2,"pesce (tracce)","")),IF(AO116=1,"crostacei",IF(AO116=2,"crostacei (tracce)","")),IF(AP116=1,"molluschi",IF(AP116=2,"molluschi (tracce)","")),IF(AQ116=1,"frutta a guscio",IF(AQ116=2,"frutta a guscio (tracce)","")),IF(AR116=1,"arachidi",IF(AR116=2,"arachidi (tracce)","")),IF(AS116=1,"soia",IF(AS116=2,"soia (tracce)","")),IF(AT116=1,"sesamo",IF(AT116=2,"sesamo (tracce)","")),IF(AU116=1,"sedano",IF(AU116=2,"sedano (tracce)","")),IF(AV116=1,"senape",IF(AV116=2,"senape (tracce)","")),IF(AW116=1,"solfiti",IF(AW116=2,"solfiti (tracce)","")),IF(AX116=1,"lupini",IF(AX116=2,"lupini (tracce)","")),IF(AY116=1,"nichel",IF(AY116=2,"nichel (tracce)","")),IF(AZ116=1,"FODMAP",IF(AZ116=2,"FODMAP (tracce)","")))</f>
        <v>nichel</v>
      </c>
      <c r="BB116" s="12" t="n">
        <f aca="false">ROUND(4*C116+4*D116+9*E116+2*N(F116),0)</f>
        <v>46</v>
      </c>
      <c r="BC116" s="12" t="s">
        <v>70</v>
      </c>
      <c r="BD116" s="12"/>
    </row>
    <row r="117" customFormat="false" ht="15" hidden="false" customHeight="false" outlineLevel="0" collapsed="false">
      <c r="A117" s="8" t="s">
        <v>349</v>
      </c>
      <c r="B117" s="9" t="n">
        <v>39</v>
      </c>
      <c r="C117" s="10" t="n">
        <v>8</v>
      </c>
      <c r="D117" s="10" t="n">
        <v>0.9</v>
      </c>
      <c r="E117" s="10" t="n">
        <v>0.3</v>
      </c>
      <c r="F117" s="11" t="n">
        <v>1.5</v>
      </c>
      <c r="G117" s="11" t="n">
        <v>8.4</v>
      </c>
      <c r="H117" s="11" t="n">
        <v>0.02</v>
      </c>
      <c r="I117" s="11" t="n">
        <v>0.07</v>
      </c>
      <c r="J117" s="11" t="n">
        <v>0.09</v>
      </c>
      <c r="K117" s="11" t="n">
        <v>0</v>
      </c>
      <c r="L117" s="11" t="n">
        <v>0</v>
      </c>
      <c r="M117" s="11" t="n">
        <v>190</v>
      </c>
      <c r="N117" s="11" t="n">
        <v>6</v>
      </c>
      <c r="O117" s="11" t="n">
        <v>20</v>
      </c>
      <c r="P117" s="11" t="n">
        <v>9</v>
      </c>
      <c r="Q117" s="11" t="n">
        <v>0.25</v>
      </c>
      <c r="R117" s="11" t="n">
        <v>0.17</v>
      </c>
      <c r="S117" s="11" t="n">
        <v>16</v>
      </c>
      <c r="T117" s="11" t="n">
        <v>6.6</v>
      </c>
      <c r="U117" s="11" t="n">
        <v>0</v>
      </c>
      <c r="V117" s="11" t="n">
        <v>0.73</v>
      </c>
      <c r="W117" s="11" t="n">
        <v>0.02</v>
      </c>
      <c r="X117" s="11" t="n">
        <v>0.03</v>
      </c>
      <c r="Y117" s="11" t="n">
        <v>0.81</v>
      </c>
      <c r="Z117" s="11" t="n">
        <v>0.03</v>
      </c>
      <c r="AA117" s="11" t="n">
        <v>4</v>
      </c>
      <c r="AB117" s="11" t="n">
        <v>0</v>
      </c>
      <c r="AC117" s="12" t="s">
        <v>313</v>
      </c>
      <c r="AD117" s="12" t="s">
        <v>350</v>
      </c>
      <c r="AE117" s="12" t="s">
        <v>315</v>
      </c>
      <c r="AF117" s="12" t="s">
        <v>69</v>
      </c>
      <c r="AG117" s="12"/>
      <c r="AH117" s="12"/>
      <c r="AI117" s="12"/>
      <c r="AJ117" s="13" t="n">
        <v>0</v>
      </c>
      <c r="AK117" s="13" t="n">
        <v>0</v>
      </c>
      <c r="AL117" s="13" t="n">
        <v>0</v>
      </c>
      <c r="AM117" s="13" t="n">
        <v>0</v>
      </c>
      <c r="AN117" s="13" t="n">
        <v>0</v>
      </c>
      <c r="AO117" s="13" t="n">
        <v>0</v>
      </c>
      <c r="AP117" s="13" t="n">
        <v>0</v>
      </c>
      <c r="AQ117" s="13" t="n">
        <v>0</v>
      </c>
      <c r="AR117" s="13" t="n">
        <v>0</v>
      </c>
      <c r="AS117" s="13" t="n">
        <v>0</v>
      </c>
      <c r="AT117" s="13" t="n">
        <v>0</v>
      </c>
      <c r="AU117" s="13" t="n">
        <v>0</v>
      </c>
      <c r="AV117" s="13" t="n">
        <v>0</v>
      </c>
      <c r="AW117" s="13" t="n">
        <v>0</v>
      </c>
      <c r="AX117" s="13" t="n">
        <v>0</v>
      </c>
      <c r="AY117" s="13" t="n">
        <v>0</v>
      </c>
      <c r="AZ117" s="13" t="n">
        <v>1</v>
      </c>
      <c r="BA117" s="12" t="str">
        <f aca="false">_xlfn.TEXTJOIN(", ",TRUE(),IF(AJ117=1,"glutine",IF(AJ117=2,"glutine (tracce)","")),IF(AK117=1,"latte",IF(AK117=2,"latte (tracce)","")),IF(AL117=1,"lattosio",IF(AL117=2,"lattosio (tracce)","")),IF(AM117=1,"uova",IF(AM117=2,"uova (tracce)","")),IF(AN117=1,"pesce",IF(AN117=2,"pesce (tracce)","")),IF(AO117=1,"crostacei",IF(AO117=2,"crostacei (tracce)","")),IF(AP117=1,"molluschi",IF(AP117=2,"molluschi (tracce)","")),IF(AQ117=1,"frutta a guscio",IF(AQ117=2,"frutta a guscio (tracce)","")),IF(AR117=1,"arachidi",IF(AR117=2,"arachidi (tracce)","")),IF(AS117=1,"soia",IF(AS117=2,"soia (tracce)","")),IF(AT117=1,"sesamo",IF(AT117=2,"sesamo (tracce)","")),IF(AU117=1,"sedano",IF(AU117=2,"sedano (tracce)","")),IF(AV117=1,"senape",IF(AV117=2,"senape (tracce)","")),IF(AW117=1,"solfiti",IF(AW117=2,"solfiti (tracce)","")),IF(AX117=1,"lupini",IF(AX117=2,"lupini (tracce)","")),IF(AY117=1,"nichel",IF(AY117=2,"nichel (tracce)","")),IF(AZ117=1,"FODMAP",IF(AZ117=2,"FODMAP (tracce)","")))</f>
        <v>FODMAP</v>
      </c>
      <c r="BB117" s="12" t="n">
        <f aca="false">ROUND(4*C117+4*D117+9*E117+2*N(F117),0)</f>
        <v>41</v>
      </c>
      <c r="BC117" s="12" t="s">
        <v>70</v>
      </c>
      <c r="BD117" s="12"/>
    </row>
    <row r="118" customFormat="false" ht="15" hidden="false" customHeight="false" outlineLevel="0" collapsed="false">
      <c r="A118" s="8" t="s">
        <v>351</v>
      </c>
      <c r="B118" s="9" t="n">
        <v>46</v>
      </c>
      <c r="C118" s="10" t="n">
        <v>10</v>
      </c>
      <c r="D118" s="10" t="n">
        <v>0.7</v>
      </c>
      <c r="E118" s="10" t="n">
        <v>0.3</v>
      </c>
      <c r="F118" s="11" t="n">
        <v>1.4</v>
      </c>
      <c r="G118" s="11" t="n">
        <v>9.9</v>
      </c>
      <c r="H118" s="11" t="n">
        <v>0.02</v>
      </c>
      <c r="I118" s="11" t="n">
        <v>0.13</v>
      </c>
      <c r="J118" s="11" t="n">
        <v>0.04</v>
      </c>
      <c r="K118" s="11" t="n">
        <v>0</v>
      </c>
      <c r="L118" s="11" t="n">
        <v>0</v>
      </c>
      <c r="M118" s="11" t="n">
        <v>157</v>
      </c>
      <c r="N118" s="11" t="n">
        <v>6</v>
      </c>
      <c r="O118" s="11" t="n">
        <v>16</v>
      </c>
      <c r="P118" s="11" t="n">
        <v>7</v>
      </c>
      <c r="Q118" s="11" t="n">
        <v>0.17</v>
      </c>
      <c r="R118" s="11" t="n">
        <v>0.1</v>
      </c>
      <c r="S118" s="11" t="n">
        <v>17</v>
      </c>
      <c r="T118" s="11" t="n">
        <v>9.5</v>
      </c>
      <c r="U118" s="11" t="n">
        <v>0</v>
      </c>
      <c r="V118" s="11" t="n">
        <v>0.26</v>
      </c>
      <c r="W118" s="11" t="n">
        <v>0.03</v>
      </c>
      <c r="X118" s="11" t="n">
        <v>0.03</v>
      </c>
      <c r="Y118" s="11" t="n">
        <v>0.42</v>
      </c>
      <c r="Z118" s="11" t="n">
        <v>0.03</v>
      </c>
      <c r="AA118" s="11" t="n">
        <v>5</v>
      </c>
      <c r="AB118" s="11" t="n">
        <v>0</v>
      </c>
      <c r="AC118" s="12" t="s">
        <v>313</v>
      </c>
      <c r="AD118" s="12" t="s">
        <v>352</v>
      </c>
      <c r="AE118" s="12" t="s">
        <v>315</v>
      </c>
      <c r="AF118" s="12" t="s">
        <v>69</v>
      </c>
      <c r="AG118" s="12"/>
      <c r="AH118" s="12"/>
      <c r="AI118" s="12"/>
      <c r="AJ118" s="13" t="n">
        <v>0</v>
      </c>
      <c r="AK118" s="13" t="n">
        <v>0</v>
      </c>
      <c r="AL118" s="13" t="n">
        <v>0</v>
      </c>
      <c r="AM118" s="13" t="n">
        <v>0</v>
      </c>
      <c r="AN118" s="13" t="n">
        <v>0</v>
      </c>
      <c r="AO118" s="13" t="n">
        <v>0</v>
      </c>
      <c r="AP118" s="13" t="n">
        <v>0</v>
      </c>
      <c r="AQ118" s="13" t="n">
        <v>0</v>
      </c>
      <c r="AR118" s="13" t="n">
        <v>0</v>
      </c>
      <c r="AS118" s="13" t="n">
        <v>0</v>
      </c>
      <c r="AT118" s="13" t="n">
        <v>0</v>
      </c>
      <c r="AU118" s="13" t="n">
        <v>0</v>
      </c>
      <c r="AV118" s="13" t="n">
        <v>0</v>
      </c>
      <c r="AW118" s="13" t="n">
        <v>0</v>
      </c>
      <c r="AX118" s="13" t="n">
        <v>0</v>
      </c>
      <c r="AY118" s="13" t="n">
        <v>0</v>
      </c>
      <c r="AZ118" s="13" t="n">
        <v>1</v>
      </c>
      <c r="BA118" s="12" t="str">
        <f aca="false">_xlfn.TEXTJOIN(", ",TRUE(),IF(AJ118=1,"glutine",IF(AJ118=2,"glutine (tracce)","")),IF(AK118=1,"latte",IF(AK118=2,"latte (tracce)","")),IF(AL118=1,"lattosio",IF(AL118=2,"lattosio (tracce)","")),IF(AM118=1,"uova",IF(AM118=2,"uova (tracce)","")),IF(AN118=1,"pesce",IF(AN118=2,"pesce (tracce)","")),IF(AO118=1,"crostacei",IF(AO118=2,"crostacei (tracce)","")),IF(AP118=1,"molluschi",IF(AP118=2,"molluschi (tracce)","")),IF(AQ118=1,"frutta a guscio",IF(AQ118=2,"frutta a guscio (tracce)","")),IF(AR118=1,"arachidi",IF(AR118=2,"arachidi (tracce)","")),IF(AS118=1,"soia",IF(AS118=2,"soia (tracce)","")),IF(AT118=1,"sesamo",IF(AT118=2,"sesamo (tracce)","")),IF(AU118=1,"sedano",IF(AU118=2,"sedano (tracce)","")),IF(AV118=1,"senape",IF(AV118=2,"senape (tracce)","")),IF(AW118=1,"solfiti",IF(AW118=2,"solfiti (tracce)","")),IF(AX118=1,"lupini",IF(AX118=2,"lupini (tracce)","")),IF(AY118=1,"nichel",IF(AY118=2,"nichel (tracce)","")),IF(AZ118=1,"FODMAP",IF(AZ118=2,"FODMAP (tracce)","")))</f>
        <v>FODMAP</v>
      </c>
      <c r="BB118" s="12" t="n">
        <f aca="false">ROUND(4*C118+4*D118+9*E118+2*N(F118),0)</f>
        <v>48</v>
      </c>
      <c r="BC118" s="12" t="s">
        <v>70</v>
      </c>
      <c r="BD118" s="12"/>
    </row>
    <row r="119" customFormat="false" ht="15" hidden="false" customHeight="false" outlineLevel="0" collapsed="false">
      <c r="A119" s="8" t="s">
        <v>353</v>
      </c>
      <c r="B119" s="9" t="n">
        <v>70</v>
      </c>
      <c r="C119" s="10" t="n">
        <v>15</v>
      </c>
      <c r="D119" s="10" t="n">
        <v>0.6</v>
      </c>
      <c r="E119" s="10" t="n">
        <v>0.2</v>
      </c>
      <c r="F119" s="11" t="n">
        <v>3.6</v>
      </c>
      <c r="G119" s="11" t="n">
        <v>12.5</v>
      </c>
      <c r="H119" s="11" t="n">
        <v>0.02</v>
      </c>
      <c r="I119" s="11" t="n">
        <v>0.04</v>
      </c>
      <c r="J119" s="11" t="n">
        <v>0.04</v>
      </c>
      <c r="K119" s="11" t="n">
        <v>0</v>
      </c>
      <c r="L119" s="11" t="n">
        <v>1</v>
      </c>
      <c r="M119" s="11" t="n">
        <v>161</v>
      </c>
      <c r="N119" s="11" t="n">
        <v>8</v>
      </c>
      <c r="O119" s="11" t="n">
        <v>17</v>
      </c>
      <c r="P119" s="11" t="n">
        <v>9</v>
      </c>
      <c r="Q119" s="11" t="n">
        <v>0.15</v>
      </c>
      <c r="R119" s="11" t="n">
        <v>0.11</v>
      </c>
      <c r="S119" s="11" t="n">
        <v>81</v>
      </c>
      <c r="T119" s="11" t="n">
        <v>7.5</v>
      </c>
      <c r="U119" s="11" t="n">
        <v>0</v>
      </c>
      <c r="V119" s="11" t="n">
        <v>0.73</v>
      </c>
      <c r="W119" s="11" t="n">
        <v>0.03</v>
      </c>
      <c r="X119" s="11" t="n">
        <v>0.02</v>
      </c>
      <c r="Y119" s="11" t="n">
        <v>0.1</v>
      </c>
      <c r="Z119" s="11" t="n">
        <v>0.1</v>
      </c>
      <c r="AA119" s="11" t="n">
        <v>8</v>
      </c>
      <c r="AB119" s="11" t="n">
        <v>0</v>
      </c>
      <c r="AC119" s="12" t="s">
        <v>313</v>
      </c>
      <c r="AD119" s="12" t="s">
        <v>354</v>
      </c>
      <c r="AE119" s="12" t="s">
        <v>315</v>
      </c>
      <c r="AF119" s="12" t="s">
        <v>69</v>
      </c>
      <c r="AG119" s="12"/>
      <c r="AH119" s="12"/>
      <c r="AI119" s="12"/>
      <c r="AJ119" s="13" t="n">
        <v>0</v>
      </c>
      <c r="AK119" s="13" t="n">
        <v>0</v>
      </c>
      <c r="AL119" s="13" t="n">
        <v>0</v>
      </c>
      <c r="AM119" s="13" t="n">
        <v>0</v>
      </c>
      <c r="AN119" s="13" t="n">
        <v>0</v>
      </c>
      <c r="AO119" s="13" t="n">
        <v>0</v>
      </c>
      <c r="AP119" s="13" t="n">
        <v>0</v>
      </c>
      <c r="AQ119" s="13" t="n">
        <v>0</v>
      </c>
      <c r="AR119" s="13" t="n">
        <v>0</v>
      </c>
      <c r="AS119" s="13" t="n">
        <v>0</v>
      </c>
      <c r="AT119" s="13" t="n">
        <v>0</v>
      </c>
      <c r="AU119" s="13" t="n">
        <v>0</v>
      </c>
      <c r="AV119" s="13" t="n">
        <v>0</v>
      </c>
      <c r="AW119" s="13" t="n">
        <v>0</v>
      </c>
      <c r="AX119" s="13" t="n">
        <v>0</v>
      </c>
      <c r="AY119" s="13" t="n">
        <v>0</v>
      </c>
      <c r="AZ119" s="13" t="n">
        <v>0</v>
      </c>
      <c r="BA119" s="12" t="str">
        <f aca="false">_xlfn.TEXTJOIN(", ",TRUE(),IF(AJ119=1,"glutine",IF(AJ119=2,"glutine (tracce)","")),IF(AK119=1,"latte",IF(AK119=2,"latte (tracce)","")),IF(AL119=1,"lattosio",IF(AL119=2,"lattosio (tracce)","")),IF(AM119=1,"uova",IF(AM119=2,"uova (tracce)","")),IF(AN119=1,"pesce",IF(AN119=2,"pesce (tracce)","")),IF(AO119=1,"crostacei",IF(AO119=2,"crostacei (tracce)","")),IF(AP119=1,"molluschi",IF(AP119=2,"molluschi (tracce)","")),IF(AQ119=1,"frutta a guscio",IF(AQ119=2,"frutta a guscio (tracce)","")),IF(AR119=1,"arachidi",IF(AR119=2,"arachidi (tracce)","")),IF(AS119=1,"soia",IF(AS119=2,"soia (tracce)","")),IF(AT119=1,"sesamo",IF(AT119=2,"sesamo (tracce)","")),IF(AU119=1,"sedano",IF(AU119=2,"sedano (tracce)","")),IF(AV119=1,"senape",IF(AV119=2,"senape (tracce)","")),IF(AW119=1,"solfiti",IF(AW119=2,"solfiti (tracce)","")),IF(AX119=1,"lupini",IF(AX119=2,"lupini (tracce)","")),IF(AY119=1,"nichel",IF(AY119=2,"nichel (tracce)","")),IF(AZ119=1,"FODMAP",IF(AZ119=2,"FODMAP (tracce)","")))</f>
        <v/>
      </c>
      <c r="BB119" s="12" t="n">
        <f aca="false">ROUND(4*C119+4*D119+9*E119+2*N(F119),0)</f>
        <v>71</v>
      </c>
      <c r="BC119" s="12" t="s">
        <v>70</v>
      </c>
      <c r="BD119" s="12"/>
    </row>
    <row r="120" customFormat="false" ht="15" hidden="false" customHeight="false" outlineLevel="0" collapsed="false">
      <c r="A120" s="8" t="s">
        <v>355</v>
      </c>
      <c r="B120" s="9" t="n">
        <v>43</v>
      </c>
      <c r="C120" s="10" t="n">
        <v>9.1</v>
      </c>
      <c r="D120" s="10" t="n">
        <v>0.5</v>
      </c>
      <c r="E120" s="10" t="n">
        <v>0.3</v>
      </c>
      <c r="F120" s="11" t="n">
        <v>1.7</v>
      </c>
      <c r="G120" s="11" t="n">
        <v>7.8</v>
      </c>
      <c r="H120" s="11" t="n">
        <v>0.08</v>
      </c>
      <c r="I120" s="11" t="n">
        <v>0.07</v>
      </c>
      <c r="J120" s="11" t="n">
        <v>0.06</v>
      </c>
      <c r="K120" s="11" t="n">
        <v>0</v>
      </c>
      <c r="L120" s="11" t="n">
        <v>8</v>
      </c>
      <c r="M120" s="11" t="n">
        <v>182</v>
      </c>
      <c r="N120" s="11" t="n">
        <v>20</v>
      </c>
      <c r="O120" s="11" t="n">
        <v>10</v>
      </c>
      <c r="P120" s="11" t="n">
        <v>21</v>
      </c>
      <c r="Q120" s="11" t="n">
        <v>0.25</v>
      </c>
      <c r="R120" s="11" t="n">
        <v>0.08</v>
      </c>
      <c r="S120" s="11" t="n">
        <v>47</v>
      </c>
      <c r="T120" s="11" t="n">
        <v>60.9</v>
      </c>
      <c r="U120" s="11" t="n">
        <v>0</v>
      </c>
      <c r="V120" s="11" t="n">
        <v>0.3</v>
      </c>
      <c r="W120" s="11" t="n">
        <v>0.02</v>
      </c>
      <c r="X120" s="11" t="n">
        <v>0.03</v>
      </c>
      <c r="Y120" s="11" t="n">
        <v>0.36</v>
      </c>
      <c r="Z120" s="11" t="n">
        <v>0.04</v>
      </c>
      <c r="AA120" s="11" t="n">
        <v>37</v>
      </c>
      <c r="AB120" s="11" t="n">
        <v>0</v>
      </c>
      <c r="AC120" s="12" t="s">
        <v>313</v>
      </c>
      <c r="AD120" s="12" t="s">
        <v>356</v>
      </c>
      <c r="AE120" s="12" t="s">
        <v>315</v>
      </c>
      <c r="AF120" s="12" t="s">
        <v>69</v>
      </c>
      <c r="AG120" s="12"/>
      <c r="AH120" s="12"/>
      <c r="AI120" s="12"/>
      <c r="AJ120" s="13" t="n">
        <v>0</v>
      </c>
      <c r="AK120" s="13" t="n">
        <v>0</v>
      </c>
      <c r="AL120" s="13" t="n">
        <v>0</v>
      </c>
      <c r="AM120" s="13" t="n">
        <v>0</v>
      </c>
      <c r="AN120" s="13" t="n">
        <v>0</v>
      </c>
      <c r="AO120" s="13" t="n">
        <v>0</v>
      </c>
      <c r="AP120" s="13" t="n">
        <v>0</v>
      </c>
      <c r="AQ120" s="13" t="n">
        <v>0</v>
      </c>
      <c r="AR120" s="13" t="n">
        <v>0</v>
      </c>
      <c r="AS120" s="13" t="n">
        <v>0</v>
      </c>
      <c r="AT120" s="13" t="n">
        <v>0</v>
      </c>
      <c r="AU120" s="13" t="n">
        <v>0</v>
      </c>
      <c r="AV120" s="13" t="n">
        <v>0</v>
      </c>
      <c r="AW120" s="13" t="n">
        <v>0</v>
      </c>
      <c r="AX120" s="13" t="n">
        <v>0</v>
      </c>
      <c r="AY120" s="13" t="n">
        <v>0</v>
      </c>
      <c r="AZ120" s="13" t="n">
        <v>0</v>
      </c>
      <c r="BA120" s="12" t="str">
        <f aca="false">_xlfn.TEXTJOIN(", ",TRUE(),IF(AJ120=1,"glutine",IF(AJ120=2,"glutine (tracce)","")),IF(AK120=1,"latte",IF(AK120=2,"latte (tracce)","")),IF(AL120=1,"lattosio",IF(AL120=2,"lattosio (tracce)","")),IF(AM120=1,"uova",IF(AM120=2,"uova (tracce)","")),IF(AN120=1,"pesce",IF(AN120=2,"pesce (tracce)","")),IF(AO120=1,"crostacei",IF(AO120=2,"crostacei (tracce)","")),IF(AP120=1,"molluschi",IF(AP120=2,"molluschi (tracce)","")),IF(AQ120=1,"frutta a guscio",IF(AQ120=2,"frutta a guscio (tracce)","")),IF(AR120=1,"arachidi",IF(AR120=2,"arachidi (tracce)","")),IF(AS120=1,"soia",IF(AS120=2,"soia (tracce)","")),IF(AT120=1,"sesamo",IF(AT120=2,"sesamo (tracce)","")),IF(AU120=1,"sedano",IF(AU120=2,"sedano (tracce)","")),IF(AV120=1,"senape",IF(AV120=2,"senape (tracce)","")),IF(AW120=1,"solfiti",IF(AW120=2,"solfiti (tracce)","")),IF(AX120=1,"lupini",IF(AX120=2,"lupini (tracce)","")),IF(AY120=1,"nichel",IF(AY120=2,"nichel (tracce)","")),IF(AZ120=1,"FODMAP",IF(AZ120=2,"FODMAP (tracce)","")))</f>
        <v/>
      </c>
      <c r="BB120" s="12" t="n">
        <f aca="false">ROUND(4*C120+4*D120+9*E120+2*N(F120),0)</f>
        <v>45</v>
      </c>
      <c r="BC120" s="12" t="s">
        <v>70</v>
      </c>
      <c r="BD120" s="12"/>
    </row>
    <row r="121" customFormat="false" ht="15" hidden="false" customHeight="false" outlineLevel="0" collapsed="false">
      <c r="A121" s="14" t="s">
        <v>357</v>
      </c>
      <c r="B121" s="15" t="n">
        <v>654</v>
      </c>
      <c r="C121" s="16" t="n">
        <v>7</v>
      </c>
      <c r="D121" s="16" t="n">
        <v>15.2</v>
      </c>
      <c r="E121" s="16" t="n">
        <v>65.2</v>
      </c>
      <c r="F121" s="17" t="n">
        <v>6.7</v>
      </c>
      <c r="G121" s="17" t="n">
        <v>2.6</v>
      </c>
      <c r="H121" s="17" t="n">
        <v>6.1</v>
      </c>
      <c r="I121" s="17" t="n">
        <v>8.9</v>
      </c>
      <c r="J121" s="17" t="n">
        <v>47.2</v>
      </c>
      <c r="K121" s="17" t="n">
        <v>0</v>
      </c>
      <c r="L121" s="17" t="n">
        <v>2</v>
      </c>
      <c r="M121" s="17" t="n">
        <v>441</v>
      </c>
      <c r="N121" s="17" t="n">
        <v>98</v>
      </c>
      <c r="O121" s="17" t="n">
        <v>346</v>
      </c>
      <c r="P121" s="17" t="n">
        <v>158</v>
      </c>
      <c r="Q121" s="17" t="n">
        <v>2.91</v>
      </c>
      <c r="R121" s="17" t="n">
        <v>3.09</v>
      </c>
      <c r="S121" s="17" t="n">
        <v>1</v>
      </c>
      <c r="T121" s="17" t="n">
        <v>1.3</v>
      </c>
      <c r="U121" s="17" t="n">
        <v>0</v>
      </c>
      <c r="V121" s="17" t="n">
        <v>0.7</v>
      </c>
      <c r="W121" s="17" t="n">
        <v>0.34</v>
      </c>
      <c r="X121" s="17" t="n">
        <v>0.15</v>
      </c>
      <c r="Y121" s="17" t="n">
        <v>1.13</v>
      </c>
      <c r="Z121" s="17" t="n">
        <v>0.54</v>
      </c>
      <c r="AA121" s="17" t="n">
        <v>98</v>
      </c>
      <c r="AB121" s="17" t="n">
        <v>0</v>
      </c>
      <c r="AC121" s="18" t="s">
        <v>358</v>
      </c>
      <c r="AD121" s="18" t="s">
        <v>359</v>
      </c>
      <c r="AE121" s="18" t="s">
        <v>119</v>
      </c>
      <c r="AF121" s="18" t="s">
        <v>215</v>
      </c>
      <c r="AG121" s="18"/>
      <c r="AH121" s="18"/>
      <c r="AI121" s="18"/>
      <c r="AJ121" s="7" t="n">
        <v>0</v>
      </c>
      <c r="AK121" s="7" t="n">
        <v>0</v>
      </c>
      <c r="AL121" s="7" t="n">
        <v>0</v>
      </c>
      <c r="AM121" s="7" t="n">
        <v>0</v>
      </c>
      <c r="AN121" s="7" t="n">
        <v>0</v>
      </c>
      <c r="AO121" s="7" t="n">
        <v>0</v>
      </c>
      <c r="AP121" s="7" t="n">
        <v>0</v>
      </c>
      <c r="AQ121" s="7" t="n">
        <v>1</v>
      </c>
      <c r="AR121" s="7" t="n">
        <v>0</v>
      </c>
      <c r="AS121" s="7" t="n">
        <v>0</v>
      </c>
      <c r="AT121" s="7" t="n">
        <v>0</v>
      </c>
      <c r="AU121" s="7" t="n">
        <v>0</v>
      </c>
      <c r="AV121" s="7" t="n">
        <v>0</v>
      </c>
      <c r="AW121" s="7" t="n">
        <v>0</v>
      </c>
      <c r="AX121" s="7" t="n">
        <v>0</v>
      </c>
      <c r="AY121" s="7" t="n">
        <v>1</v>
      </c>
      <c r="AZ121" s="7" t="n">
        <v>0</v>
      </c>
      <c r="BA121" s="18" t="str">
        <f aca="false">_xlfn.TEXTJOIN(", ",TRUE(),IF(AJ121=1,"glutine",IF(AJ121=2,"glutine (tracce)","")),IF(AK121=1,"latte",IF(AK121=2,"latte (tracce)","")),IF(AL121=1,"lattosio",IF(AL121=2,"lattosio (tracce)","")),IF(AM121=1,"uova",IF(AM121=2,"uova (tracce)","")),IF(AN121=1,"pesce",IF(AN121=2,"pesce (tracce)","")),IF(AO121=1,"crostacei",IF(AO121=2,"crostacei (tracce)","")),IF(AP121=1,"molluschi",IF(AP121=2,"molluschi (tracce)","")),IF(AQ121=1,"frutta a guscio",IF(AQ121=2,"frutta a guscio (tracce)","")),IF(AR121=1,"arachidi",IF(AR121=2,"arachidi (tracce)","")),IF(AS121=1,"soia",IF(AS121=2,"soia (tracce)","")),IF(AT121=1,"sesamo",IF(AT121=2,"sesamo (tracce)","")),IF(AU121=1,"sedano",IF(AU121=2,"sedano (tracce)","")),IF(AV121=1,"senape",IF(AV121=2,"senape (tracce)","")),IF(AW121=1,"solfiti",IF(AW121=2,"solfiti (tracce)","")),IF(AX121=1,"lupini",IF(AX121=2,"lupini (tracce)","")),IF(AY121=1,"nichel",IF(AY121=2,"nichel (tracce)","")),IF(AZ121=1,"FODMAP",IF(AZ121=2,"FODMAP (tracce)","")))</f>
        <v>frutta a guscio, nichel</v>
      </c>
      <c r="BB121" s="18" t="n">
        <f aca="false">ROUND(4*C121+4*D121+9*E121+2*N(F121),0)</f>
        <v>689</v>
      </c>
      <c r="BC121" s="18" t="s">
        <v>70</v>
      </c>
      <c r="BD121" s="18"/>
    </row>
    <row r="122" customFormat="false" ht="15" hidden="false" customHeight="false" outlineLevel="0" collapsed="false">
      <c r="A122" s="19" t="s">
        <v>360</v>
      </c>
      <c r="B122" s="20" t="n">
        <v>579</v>
      </c>
      <c r="C122" s="21" t="n">
        <v>9.1</v>
      </c>
      <c r="D122" s="21" t="n">
        <v>21.2</v>
      </c>
      <c r="E122" s="21" t="n">
        <v>49.9</v>
      </c>
      <c r="F122" s="22" t="n">
        <v>12.5</v>
      </c>
      <c r="G122" s="22" t="n">
        <v>4.35</v>
      </c>
      <c r="H122" s="22" t="n">
        <v>3.8</v>
      </c>
      <c r="I122" s="22" t="n">
        <v>31.6</v>
      </c>
      <c r="J122" s="22" t="n">
        <v>12.3</v>
      </c>
      <c r="K122" s="22" t="n">
        <v>0</v>
      </c>
      <c r="L122" s="22" t="n">
        <v>1</v>
      </c>
      <c r="M122" s="22" t="n">
        <v>733</v>
      </c>
      <c r="N122" s="22" t="n">
        <v>269</v>
      </c>
      <c r="O122" s="22" t="n">
        <v>481</v>
      </c>
      <c r="P122" s="22" t="n">
        <v>270</v>
      </c>
      <c r="Q122" s="22" t="n">
        <v>3.71</v>
      </c>
      <c r="R122" s="22" t="n">
        <v>3.12</v>
      </c>
      <c r="S122" s="22" t="n">
        <v>0</v>
      </c>
      <c r="T122" s="22" t="n">
        <v>0</v>
      </c>
      <c r="U122" s="22" t="n">
        <v>0</v>
      </c>
      <c r="V122" s="22" t="n">
        <v>25.6</v>
      </c>
      <c r="W122" s="22" t="n">
        <v>0.2</v>
      </c>
      <c r="X122" s="22" t="n">
        <v>1.14</v>
      </c>
      <c r="Y122" s="22" t="n">
        <v>3.62</v>
      </c>
      <c r="Z122" s="22" t="n">
        <v>0.14</v>
      </c>
      <c r="AA122" s="22" t="n">
        <v>44</v>
      </c>
      <c r="AB122" s="22" t="n">
        <v>0</v>
      </c>
      <c r="AC122" s="23" t="s">
        <v>358</v>
      </c>
      <c r="AD122" s="23" t="s">
        <v>361</v>
      </c>
      <c r="AE122" s="23" t="s">
        <v>119</v>
      </c>
      <c r="AF122" s="23" t="s">
        <v>215</v>
      </c>
      <c r="AG122" s="23"/>
      <c r="AH122" s="23"/>
      <c r="AI122" s="23"/>
      <c r="AJ122" s="13" t="n">
        <v>0</v>
      </c>
      <c r="AK122" s="13" t="n">
        <v>0</v>
      </c>
      <c r="AL122" s="13" t="n">
        <v>0</v>
      </c>
      <c r="AM122" s="13" t="n">
        <v>0</v>
      </c>
      <c r="AN122" s="13" t="n">
        <v>0</v>
      </c>
      <c r="AO122" s="13" t="n">
        <v>0</v>
      </c>
      <c r="AP122" s="13" t="n">
        <v>0</v>
      </c>
      <c r="AQ122" s="13" t="n">
        <v>1</v>
      </c>
      <c r="AR122" s="13" t="n">
        <v>0</v>
      </c>
      <c r="AS122" s="13" t="n">
        <v>0</v>
      </c>
      <c r="AT122" s="13" t="n">
        <v>0</v>
      </c>
      <c r="AU122" s="13" t="n">
        <v>0</v>
      </c>
      <c r="AV122" s="13" t="n">
        <v>0</v>
      </c>
      <c r="AW122" s="13" t="n">
        <v>0</v>
      </c>
      <c r="AX122" s="13" t="n">
        <v>0</v>
      </c>
      <c r="AY122" s="13" t="n">
        <v>1</v>
      </c>
      <c r="AZ122" s="13" t="n">
        <v>1</v>
      </c>
      <c r="BA122" s="23" t="str">
        <f aca="false">_xlfn.TEXTJOIN(", ",TRUE(),IF(AJ122=1,"glutine",IF(AJ122=2,"glutine (tracce)","")),IF(AK122=1,"latte",IF(AK122=2,"latte (tracce)","")),IF(AL122=1,"lattosio",IF(AL122=2,"lattosio (tracce)","")),IF(AM122=1,"uova",IF(AM122=2,"uova (tracce)","")),IF(AN122=1,"pesce",IF(AN122=2,"pesce (tracce)","")),IF(AO122=1,"crostacei",IF(AO122=2,"crostacei (tracce)","")),IF(AP122=1,"molluschi",IF(AP122=2,"molluschi (tracce)","")),IF(AQ122=1,"frutta a guscio",IF(AQ122=2,"frutta a guscio (tracce)","")),IF(AR122=1,"arachidi",IF(AR122=2,"arachidi (tracce)","")),IF(AS122=1,"soia",IF(AS122=2,"soia (tracce)","")),IF(AT122=1,"sesamo",IF(AT122=2,"sesamo (tracce)","")),IF(AU122=1,"sedano",IF(AU122=2,"sedano (tracce)","")),IF(AV122=1,"senape",IF(AV122=2,"senape (tracce)","")),IF(AW122=1,"solfiti",IF(AW122=2,"solfiti (tracce)","")),IF(AX122=1,"lupini",IF(AX122=2,"lupini (tracce)","")),IF(AY122=1,"nichel",IF(AY122=2,"nichel (tracce)","")),IF(AZ122=1,"FODMAP",IF(AZ122=2,"FODMAP (tracce)","")))</f>
        <v>frutta a guscio, nichel, FODMAP</v>
      </c>
      <c r="BB122" s="23" t="n">
        <f aca="false">ROUND(4*C122+4*D122+9*E122+2*N(F122),0)</f>
        <v>595</v>
      </c>
      <c r="BC122" s="23" t="s">
        <v>70</v>
      </c>
      <c r="BD122" s="23" t="s">
        <v>362</v>
      </c>
    </row>
    <row r="123" customFormat="false" ht="15" hidden="false" customHeight="false" outlineLevel="0" collapsed="false">
      <c r="A123" s="19" t="s">
        <v>363</v>
      </c>
      <c r="B123" s="20" t="n">
        <v>628</v>
      </c>
      <c r="C123" s="21" t="n">
        <v>7</v>
      </c>
      <c r="D123" s="21" t="n">
        <v>15</v>
      </c>
      <c r="E123" s="21" t="n">
        <v>60.8</v>
      </c>
      <c r="F123" s="22" t="n">
        <v>9.7</v>
      </c>
      <c r="G123" s="22" t="n">
        <v>4.3</v>
      </c>
      <c r="H123" s="22" t="n">
        <v>4.5</v>
      </c>
      <c r="I123" s="22" t="n">
        <v>45.7</v>
      </c>
      <c r="J123" s="22" t="n">
        <v>7.9</v>
      </c>
      <c r="K123" s="22" t="n">
        <v>0</v>
      </c>
      <c r="L123" s="22" t="n">
        <v>0</v>
      </c>
      <c r="M123" s="22" t="n">
        <v>680</v>
      </c>
      <c r="N123" s="22" t="n">
        <v>114</v>
      </c>
      <c r="O123" s="22" t="n">
        <v>290</v>
      </c>
      <c r="P123" s="22" t="n">
        <v>163</v>
      </c>
      <c r="Q123" s="22" t="n">
        <v>4.7</v>
      </c>
      <c r="R123" s="22" t="n">
        <v>2.45</v>
      </c>
      <c r="S123" s="22" t="n">
        <v>1</v>
      </c>
      <c r="T123" s="22" t="n">
        <v>6.3</v>
      </c>
      <c r="U123" s="22" t="n">
        <v>0</v>
      </c>
      <c r="V123" s="22" t="n">
        <v>15</v>
      </c>
      <c r="W123" s="22" t="n">
        <v>0.64</v>
      </c>
      <c r="X123" s="22" t="n">
        <v>0.11</v>
      </c>
      <c r="Y123" s="22" t="n">
        <v>1.8</v>
      </c>
      <c r="Z123" s="22" t="n">
        <v>0.56</v>
      </c>
      <c r="AA123" s="22" t="n">
        <v>113</v>
      </c>
      <c r="AB123" s="22" t="n">
        <v>0</v>
      </c>
      <c r="AC123" s="23" t="s">
        <v>358</v>
      </c>
      <c r="AD123" s="23" t="s">
        <v>364</v>
      </c>
      <c r="AE123" s="23" t="s">
        <v>119</v>
      </c>
      <c r="AF123" s="23" t="s">
        <v>215</v>
      </c>
      <c r="AG123" s="23"/>
      <c r="AH123" s="23"/>
      <c r="AI123" s="23"/>
      <c r="AJ123" s="13" t="n">
        <v>0</v>
      </c>
      <c r="AK123" s="13" t="n">
        <v>0</v>
      </c>
      <c r="AL123" s="13" t="n">
        <v>0</v>
      </c>
      <c r="AM123" s="13" t="n">
        <v>0</v>
      </c>
      <c r="AN123" s="13" t="n">
        <v>0</v>
      </c>
      <c r="AO123" s="13" t="n">
        <v>0</v>
      </c>
      <c r="AP123" s="13" t="n">
        <v>0</v>
      </c>
      <c r="AQ123" s="13" t="n">
        <v>1</v>
      </c>
      <c r="AR123" s="13" t="n">
        <v>0</v>
      </c>
      <c r="AS123" s="13" t="n">
        <v>0</v>
      </c>
      <c r="AT123" s="13" t="n">
        <v>0</v>
      </c>
      <c r="AU123" s="13" t="n">
        <v>0</v>
      </c>
      <c r="AV123" s="13" t="n">
        <v>0</v>
      </c>
      <c r="AW123" s="13" t="n">
        <v>0</v>
      </c>
      <c r="AX123" s="13" t="n">
        <v>0</v>
      </c>
      <c r="AY123" s="13" t="n">
        <v>1</v>
      </c>
      <c r="AZ123" s="13" t="n">
        <v>0</v>
      </c>
      <c r="BA123" s="23" t="str">
        <f aca="false">_xlfn.TEXTJOIN(", ",TRUE(),IF(AJ123=1,"glutine",IF(AJ123=2,"glutine (tracce)","")),IF(AK123=1,"latte",IF(AK123=2,"latte (tracce)","")),IF(AL123=1,"lattosio",IF(AL123=2,"lattosio (tracce)","")),IF(AM123=1,"uova",IF(AM123=2,"uova (tracce)","")),IF(AN123=1,"pesce",IF(AN123=2,"pesce (tracce)","")),IF(AO123=1,"crostacei",IF(AO123=2,"crostacei (tracce)","")),IF(AP123=1,"molluschi",IF(AP123=2,"molluschi (tracce)","")),IF(AQ123=1,"frutta a guscio",IF(AQ123=2,"frutta a guscio (tracce)","")),IF(AR123=1,"arachidi",IF(AR123=2,"arachidi (tracce)","")),IF(AS123=1,"soia",IF(AS123=2,"soia (tracce)","")),IF(AT123=1,"sesamo",IF(AT123=2,"sesamo (tracce)","")),IF(AU123=1,"sedano",IF(AU123=2,"sedano (tracce)","")),IF(AV123=1,"senape",IF(AV123=2,"senape (tracce)","")),IF(AW123=1,"solfiti",IF(AW123=2,"solfiti (tracce)","")),IF(AX123=1,"lupini",IF(AX123=2,"lupini (tracce)","")),IF(AY123=1,"nichel",IF(AY123=2,"nichel (tracce)","")),IF(AZ123=1,"FODMAP",IF(AZ123=2,"FODMAP (tracce)","")))</f>
        <v>frutta a guscio, nichel</v>
      </c>
      <c r="BB123" s="23" t="n">
        <f aca="false">ROUND(4*C123+4*D123+9*E123+2*N(F123),0)</f>
        <v>655</v>
      </c>
      <c r="BC123" s="23" t="s">
        <v>70</v>
      </c>
      <c r="BD123" s="23"/>
    </row>
    <row r="124" customFormat="false" ht="15" hidden="false" customHeight="false" outlineLevel="0" collapsed="false">
      <c r="A124" s="19" t="s">
        <v>365</v>
      </c>
      <c r="B124" s="20" t="n">
        <v>553</v>
      </c>
      <c r="C124" s="21" t="n">
        <v>27</v>
      </c>
      <c r="D124" s="21" t="n">
        <v>18.2</v>
      </c>
      <c r="E124" s="21" t="n">
        <v>43.9</v>
      </c>
      <c r="F124" s="22" t="n">
        <v>3.3</v>
      </c>
      <c r="G124" s="22" t="n">
        <v>5.9</v>
      </c>
      <c r="H124" s="22" t="n">
        <v>7.8</v>
      </c>
      <c r="I124" s="22" t="n">
        <v>23.8</v>
      </c>
      <c r="J124" s="22" t="n">
        <v>7.8</v>
      </c>
      <c r="K124" s="22" t="n">
        <v>0</v>
      </c>
      <c r="L124" s="22" t="n">
        <v>12</v>
      </c>
      <c r="M124" s="22" t="n">
        <v>660</v>
      </c>
      <c r="N124" s="22" t="n">
        <v>37</v>
      </c>
      <c r="O124" s="22" t="n">
        <v>593</v>
      </c>
      <c r="P124" s="22" t="n">
        <v>292</v>
      </c>
      <c r="Q124" s="22" t="n">
        <v>6.68</v>
      </c>
      <c r="R124" s="22" t="n">
        <v>5.78</v>
      </c>
      <c r="S124" s="22" t="n">
        <v>0</v>
      </c>
      <c r="T124" s="22" t="n">
        <v>0.5</v>
      </c>
      <c r="U124" s="22" t="n">
        <v>0</v>
      </c>
      <c r="V124" s="22" t="n">
        <v>0.9</v>
      </c>
      <c r="W124" s="22" t="n">
        <v>0.42</v>
      </c>
      <c r="X124" s="22" t="n">
        <v>0.06</v>
      </c>
      <c r="Y124" s="22" t="n">
        <v>1.06</v>
      </c>
      <c r="Z124" s="22" t="n">
        <v>0.42</v>
      </c>
      <c r="AA124" s="22" t="n">
        <v>25</v>
      </c>
      <c r="AB124" s="22" t="n">
        <v>0</v>
      </c>
      <c r="AC124" s="23" t="s">
        <v>358</v>
      </c>
      <c r="AD124" s="23" t="s">
        <v>366</v>
      </c>
      <c r="AE124" s="23" t="s">
        <v>119</v>
      </c>
      <c r="AF124" s="23" t="s">
        <v>215</v>
      </c>
      <c r="AG124" s="23"/>
      <c r="AH124" s="23"/>
      <c r="AI124" s="23"/>
      <c r="AJ124" s="13" t="n">
        <v>0</v>
      </c>
      <c r="AK124" s="13" t="n">
        <v>0</v>
      </c>
      <c r="AL124" s="13" t="n">
        <v>0</v>
      </c>
      <c r="AM124" s="13" t="n">
        <v>0</v>
      </c>
      <c r="AN124" s="13" t="n">
        <v>0</v>
      </c>
      <c r="AO124" s="13" t="n">
        <v>0</v>
      </c>
      <c r="AP124" s="13" t="n">
        <v>0</v>
      </c>
      <c r="AQ124" s="13" t="n">
        <v>1</v>
      </c>
      <c r="AR124" s="13" t="n">
        <v>0</v>
      </c>
      <c r="AS124" s="13" t="n">
        <v>0</v>
      </c>
      <c r="AT124" s="13" t="n">
        <v>0</v>
      </c>
      <c r="AU124" s="13" t="n">
        <v>0</v>
      </c>
      <c r="AV124" s="13" t="n">
        <v>0</v>
      </c>
      <c r="AW124" s="13" t="n">
        <v>0</v>
      </c>
      <c r="AX124" s="13" t="n">
        <v>0</v>
      </c>
      <c r="AY124" s="13" t="n">
        <v>1</v>
      </c>
      <c r="AZ124" s="13" t="n">
        <v>1</v>
      </c>
      <c r="BA124" s="23" t="str">
        <f aca="false">_xlfn.TEXTJOIN(", ",TRUE(),IF(AJ124=1,"glutine",IF(AJ124=2,"glutine (tracce)","")),IF(AK124=1,"latte",IF(AK124=2,"latte (tracce)","")),IF(AL124=1,"lattosio",IF(AL124=2,"lattosio (tracce)","")),IF(AM124=1,"uova",IF(AM124=2,"uova (tracce)","")),IF(AN124=1,"pesce",IF(AN124=2,"pesce (tracce)","")),IF(AO124=1,"crostacei",IF(AO124=2,"crostacei (tracce)","")),IF(AP124=1,"molluschi",IF(AP124=2,"molluschi (tracce)","")),IF(AQ124=1,"frutta a guscio",IF(AQ124=2,"frutta a guscio (tracce)","")),IF(AR124=1,"arachidi",IF(AR124=2,"arachidi (tracce)","")),IF(AS124=1,"soia",IF(AS124=2,"soia (tracce)","")),IF(AT124=1,"sesamo",IF(AT124=2,"sesamo (tracce)","")),IF(AU124=1,"sedano",IF(AU124=2,"sedano (tracce)","")),IF(AV124=1,"senape",IF(AV124=2,"senape (tracce)","")),IF(AW124=1,"solfiti",IF(AW124=2,"solfiti (tracce)","")),IF(AX124=1,"lupini",IF(AX124=2,"lupini (tracce)","")),IF(AY124=1,"nichel",IF(AY124=2,"nichel (tracce)","")),IF(AZ124=1,"FODMAP",IF(AZ124=2,"FODMAP (tracce)","")))</f>
        <v>frutta a guscio, nichel, FODMAP</v>
      </c>
      <c r="BB124" s="23" t="n">
        <f aca="false">ROUND(4*C124+4*D124+9*E124+2*N(F124),0)</f>
        <v>583</v>
      </c>
      <c r="BC124" s="23" t="s">
        <v>70</v>
      </c>
      <c r="BD124" s="23"/>
    </row>
    <row r="125" customFormat="false" ht="15" hidden="false" customHeight="false" outlineLevel="0" collapsed="false">
      <c r="A125" s="19" t="s">
        <v>367</v>
      </c>
      <c r="B125" s="20" t="n">
        <v>560</v>
      </c>
      <c r="C125" s="21" t="n">
        <v>17.6</v>
      </c>
      <c r="D125" s="21" t="n">
        <v>20.2</v>
      </c>
      <c r="E125" s="21" t="n">
        <v>45.3</v>
      </c>
      <c r="F125" s="22" t="n">
        <v>10.6</v>
      </c>
      <c r="G125" s="22" t="n">
        <v>7.7</v>
      </c>
      <c r="H125" s="22" t="n">
        <v>5.9</v>
      </c>
      <c r="I125" s="22" t="n">
        <v>23.3</v>
      </c>
      <c r="J125" s="22" t="n">
        <v>14.4</v>
      </c>
      <c r="K125" s="22" t="n">
        <v>0</v>
      </c>
      <c r="L125" s="22" t="n">
        <v>1</v>
      </c>
      <c r="M125" s="22" t="n">
        <v>1025</v>
      </c>
      <c r="N125" s="22" t="n">
        <v>105</v>
      </c>
      <c r="O125" s="22" t="n">
        <v>490</v>
      </c>
      <c r="P125" s="22" t="n">
        <v>121</v>
      </c>
      <c r="Q125" s="22" t="n">
        <v>3.92</v>
      </c>
      <c r="R125" s="22" t="n">
        <v>2.2</v>
      </c>
      <c r="S125" s="22" t="n">
        <v>26</v>
      </c>
      <c r="T125" s="22" t="n">
        <v>5.6</v>
      </c>
      <c r="U125" s="22" t="n">
        <v>0</v>
      </c>
      <c r="V125" s="22" t="n">
        <v>2.86</v>
      </c>
      <c r="W125" s="22" t="n">
        <v>0.87</v>
      </c>
      <c r="X125" s="22" t="n">
        <v>0.16</v>
      </c>
      <c r="Y125" s="22" t="n">
        <v>1.3</v>
      </c>
      <c r="Z125" s="22" t="n">
        <v>1.7</v>
      </c>
      <c r="AA125" s="22" t="n">
        <v>51</v>
      </c>
      <c r="AB125" s="22" t="n">
        <v>0</v>
      </c>
      <c r="AC125" s="23" t="s">
        <v>358</v>
      </c>
      <c r="AD125" s="23" t="s">
        <v>368</v>
      </c>
      <c r="AE125" s="23" t="s">
        <v>119</v>
      </c>
      <c r="AF125" s="23" t="s">
        <v>215</v>
      </c>
      <c r="AG125" s="23"/>
      <c r="AH125" s="23"/>
      <c r="AI125" s="23"/>
      <c r="AJ125" s="13" t="n">
        <v>0</v>
      </c>
      <c r="AK125" s="13" t="n">
        <v>0</v>
      </c>
      <c r="AL125" s="13" t="n">
        <v>0</v>
      </c>
      <c r="AM125" s="13" t="n">
        <v>0</v>
      </c>
      <c r="AN125" s="13" t="n">
        <v>0</v>
      </c>
      <c r="AO125" s="13" t="n">
        <v>0</v>
      </c>
      <c r="AP125" s="13" t="n">
        <v>0</v>
      </c>
      <c r="AQ125" s="13" t="n">
        <v>1</v>
      </c>
      <c r="AR125" s="13" t="n">
        <v>0</v>
      </c>
      <c r="AS125" s="13" t="n">
        <v>0</v>
      </c>
      <c r="AT125" s="13" t="n">
        <v>0</v>
      </c>
      <c r="AU125" s="13" t="n">
        <v>0</v>
      </c>
      <c r="AV125" s="13" t="n">
        <v>0</v>
      </c>
      <c r="AW125" s="13" t="n">
        <v>0</v>
      </c>
      <c r="AX125" s="13" t="n">
        <v>0</v>
      </c>
      <c r="AY125" s="13" t="n">
        <v>1</v>
      </c>
      <c r="AZ125" s="13" t="n">
        <v>1</v>
      </c>
      <c r="BA125" s="23" t="str">
        <f aca="false">_xlfn.TEXTJOIN(", ",TRUE(),IF(AJ125=1,"glutine",IF(AJ125=2,"glutine (tracce)","")),IF(AK125=1,"latte",IF(AK125=2,"latte (tracce)","")),IF(AL125=1,"lattosio",IF(AL125=2,"lattosio (tracce)","")),IF(AM125=1,"uova",IF(AM125=2,"uova (tracce)","")),IF(AN125=1,"pesce",IF(AN125=2,"pesce (tracce)","")),IF(AO125=1,"crostacei",IF(AO125=2,"crostacei (tracce)","")),IF(AP125=1,"molluschi",IF(AP125=2,"molluschi (tracce)","")),IF(AQ125=1,"frutta a guscio",IF(AQ125=2,"frutta a guscio (tracce)","")),IF(AR125=1,"arachidi",IF(AR125=2,"arachidi (tracce)","")),IF(AS125=1,"soia",IF(AS125=2,"soia (tracce)","")),IF(AT125=1,"sesamo",IF(AT125=2,"sesamo (tracce)","")),IF(AU125=1,"sedano",IF(AU125=2,"sedano (tracce)","")),IF(AV125=1,"senape",IF(AV125=2,"senape (tracce)","")),IF(AW125=1,"solfiti",IF(AW125=2,"solfiti (tracce)","")),IF(AX125=1,"lupini",IF(AX125=2,"lupini (tracce)","")),IF(AY125=1,"nichel",IF(AY125=2,"nichel (tracce)","")),IF(AZ125=1,"FODMAP",IF(AZ125=2,"FODMAP (tracce)","")))</f>
        <v>frutta a guscio, nichel, FODMAP</v>
      </c>
      <c r="BB125" s="23" t="n">
        <f aca="false">ROUND(4*C125+4*D125+9*E125+2*N(F125),0)</f>
        <v>580</v>
      </c>
      <c r="BC125" s="23" t="s">
        <v>70</v>
      </c>
      <c r="BD125" s="23"/>
    </row>
    <row r="126" customFormat="false" ht="15" hidden="false" customHeight="false" outlineLevel="0" collapsed="false">
      <c r="A126" s="19" t="s">
        <v>369</v>
      </c>
      <c r="B126" s="20" t="n">
        <v>567</v>
      </c>
      <c r="C126" s="21" t="n">
        <v>7.6</v>
      </c>
      <c r="D126" s="21" t="n">
        <v>25.8</v>
      </c>
      <c r="E126" s="21" t="n">
        <v>49.2</v>
      </c>
      <c r="F126" s="22" t="n">
        <v>8.5</v>
      </c>
      <c r="G126" s="22" t="n">
        <v>4.7</v>
      </c>
      <c r="H126" s="22" t="n">
        <v>6.3</v>
      </c>
      <c r="I126" s="22" t="n">
        <v>24.4</v>
      </c>
      <c r="J126" s="22" t="n">
        <v>15.6</v>
      </c>
      <c r="K126" s="22" t="n">
        <v>0</v>
      </c>
      <c r="L126" s="22" t="n">
        <v>18</v>
      </c>
      <c r="M126" s="22" t="n">
        <v>705</v>
      </c>
      <c r="N126" s="22" t="n">
        <v>92</v>
      </c>
      <c r="O126" s="22" t="n">
        <v>376</v>
      </c>
      <c r="P126" s="22" t="n">
        <v>168</v>
      </c>
      <c r="Q126" s="22" t="n">
        <v>4.58</v>
      </c>
      <c r="R126" s="22" t="n">
        <v>3.27</v>
      </c>
      <c r="S126" s="22" t="n">
        <v>0</v>
      </c>
      <c r="T126" s="22" t="n">
        <v>0</v>
      </c>
      <c r="U126" s="22" t="n">
        <v>0</v>
      </c>
      <c r="V126" s="22" t="n">
        <v>8.33</v>
      </c>
      <c r="W126" s="22" t="n">
        <v>0.64</v>
      </c>
      <c r="X126" s="22" t="n">
        <v>0.14</v>
      </c>
      <c r="Y126" s="22" t="n">
        <v>12.1</v>
      </c>
      <c r="Z126" s="22" t="n">
        <v>0.35</v>
      </c>
      <c r="AA126" s="22" t="n">
        <v>240</v>
      </c>
      <c r="AB126" s="22" t="n">
        <v>0</v>
      </c>
      <c r="AC126" s="23" t="s">
        <v>358</v>
      </c>
      <c r="AD126" s="23" t="s">
        <v>370</v>
      </c>
      <c r="AE126" s="23" t="s">
        <v>119</v>
      </c>
      <c r="AF126" s="23" t="s">
        <v>215</v>
      </c>
      <c r="AG126" s="23"/>
      <c r="AH126" s="23"/>
      <c r="AI126" s="23"/>
      <c r="AJ126" s="13" t="n">
        <v>0</v>
      </c>
      <c r="AK126" s="13" t="n">
        <v>0</v>
      </c>
      <c r="AL126" s="13" t="n">
        <v>0</v>
      </c>
      <c r="AM126" s="13" t="n">
        <v>0</v>
      </c>
      <c r="AN126" s="13" t="n">
        <v>0</v>
      </c>
      <c r="AO126" s="13" t="n">
        <v>0</v>
      </c>
      <c r="AP126" s="13" t="n">
        <v>0</v>
      </c>
      <c r="AQ126" s="13" t="n">
        <v>0</v>
      </c>
      <c r="AR126" s="13" t="n">
        <v>1</v>
      </c>
      <c r="AS126" s="13" t="n">
        <v>0</v>
      </c>
      <c r="AT126" s="13" t="n">
        <v>0</v>
      </c>
      <c r="AU126" s="13" t="n">
        <v>0</v>
      </c>
      <c r="AV126" s="13" t="n">
        <v>0</v>
      </c>
      <c r="AW126" s="13" t="n">
        <v>0</v>
      </c>
      <c r="AX126" s="13" t="n">
        <v>0</v>
      </c>
      <c r="AY126" s="13" t="n">
        <v>1</v>
      </c>
      <c r="AZ126" s="13" t="n">
        <v>0</v>
      </c>
      <c r="BA126" s="23" t="str">
        <f aca="false">_xlfn.TEXTJOIN(", ",TRUE(),IF(AJ126=1,"glutine",IF(AJ126=2,"glutine (tracce)","")),IF(AK126=1,"latte",IF(AK126=2,"latte (tracce)","")),IF(AL126=1,"lattosio",IF(AL126=2,"lattosio (tracce)","")),IF(AM126=1,"uova",IF(AM126=2,"uova (tracce)","")),IF(AN126=1,"pesce",IF(AN126=2,"pesce (tracce)","")),IF(AO126=1,"crostacei",IF(AO126=2,"crostacei (tracce)","")),IF(AP126=1,"molluschi",IF(AP126=2,"molluschi (tracce)","")),IF(AQ126=1,"frutta a guscio",IF(AQ126=2,"frutta a guscio (tracce)","")),IF(AR126=1,"arachidi",IF(AR126=2,"arachidi (tracce)","")),IF(AS126=1,"soia",IF(AS126=2,"soia (tracce)","")),IF(AT126=1,"sesamo",IF(AT126=2,"sesamo (tracce)","")),IF(AU126=1,"sedano",IF(AU126=2,"sedano (tracce)","")),IF(AV126=1,"senape",IF(AV126=2,"senape (tracce)","")),IF(AW126=1,"solfiti",IF(AW126=2,"solfiti (tracce)","")),IF(AX126=1,"lupini",IF(AX126=2,"lupini (tracce)","")),IF(AY126=1,"nichel",IF(AY126=2,"nichel (tracce)","")),IF(AZ126=1,"FODMAP",IF(AZ126=2,"FODMAP (tracce)","")))</f>
        <v>arachidi, nichel</v>
      </c>
      <c r="BB126" s="23" t="n">
        <f aca="false">ROUND(4*C126+4*D126+9*E126+2*N(F126),0)</f>
        <v>593</v>
      </c>
      <c r="BC126" s="23" t="s">
        <v>70</v>
      </c>
      <c r="BD126" s="23"/>
    </row>
    <row r="127" customFormat="false" ht="15" hidden="false" customHeight="false" outlineLevel="0" collapsed="false">
      <c r="A127" s="19" t="s">
        <v>371</v>
      </c>
      <c r="B127" s="20" t="n">
        <v>600</v>
      </c>
      <c r="C127" s="21" t="n">
        <v>12</v>
      </c>
      <c r="D127" s="21" t="n">
        <v>25</v>
      </c>
      <c r="E127" s="21" t="n">
        <v>50</v>
      </c>
      <c r="F127" s="22" t="n">
        <v>7</v>
      </c>
      <c r="G127" s="22" t="n">
        <v>5</v>
      </c>
      <c r="H127" s="22" t="n">
        <v>8</v>
      </c>
      <c r="I127" s="22" t="n">
        <v>25</v>
      </c>
      <c r="J127" s="22" t="n">
        <v>14</v>
      </c>
      <c r="K127" s="22" t="n">
        <v>0</v>
      </c>
      <c r="L127" s="22" t="n">
        <v>5</v>
      </c>
      <c r="M127" s="22" t="n">
        <v>650</v>
      </c>
      <c r="N127" s="22" t="n">
        <v>50</v>
      </c>
      <c r="O127" s="22" t="n">
        <v>350</v>
      </c>
      <c r="P127" s="22" t="n">
        <v>170</v>
      </c>
      <c r="Q127" s="22" t="n">
        <v>1.9</v>
      </c>
      <c r="R127" s="22" t="n">
        <v>2.9</v>
      </c>
      <c r="S127" s="22" t="n">
        <v>0</v>
      </c>
      <c r="T127" s="22" t="n">
        <v>0</v>
      </c>
      <c r="U127" s="22" t="n">
        <v>0</v>
      </c>
      <c r="V127" s="22" t="n">
        <v>9</v>
      </c>
      <c r="W127" s="22" t="n">
        <v>0.15</v>
      </c>
      <c r="X127" s="22" t="n">
        <v>0.1</v>
      </c>
      <c r="Y127" s="22" t="n">
        <v>13</v>
      </c>
      <c r="Z127" s="22" t="n">
        <v>0.4</v>
      </c>
      <c r="AA127" s="22" t="n">
        <v>90</v>
      </c>
      <c r="AB127" s="22" t="n">
        <v>0</v>
      </c>
      <c r="AC127" s="23" t="s">
        <v>358</v>
      </c>
      <c r="AD127" s="23" t="s">
        <v>372</v>
      </c>
      <c r="AE127" s="23" t="s">
        <v>119</v>
      </c>
      <c r="AF127" s="23" t="s">
        <v>215</v>
      </c>
      <c r="AG127" s="23"/>
      <c r="AH127" s="23"/>
      <c r="AI127" s="23"/>
      <c r="AJ127" s="13" t="n">
        <v>0</v>
      </c>
      <c r="AK127" s="13" t="n">
        <v>0</v>
      </c>
      <c r="AL127" s="13" t="n">
        <v>0</v>
      </c>
      <c r="AM127" s="13" t="n">
        <v>0</v>
      </c>
      <c r="AN127" s="13" t="n">
        <v>0</v>
      </c>
      <c r="AO127" s="13" t="n">
        <v>0</v>
      </c>
      <c r="AP127" s="13" t="n">
        <v>0</v>
      </c>
      <c r="AQ127" s="13" t="n">
        <v>0</v>
      </c>
      <c r="AR127" s="13" t="n">
        <v>1</v>
      </c>
      <c r="AS127" s="13" t="n">
        <v>0</v>
      </c>
      <c r="AT127" s="13" t="n">
        <v>0</v>
      </c>
      <c r="AU127" s="13" t="n">
        <v>0</v>
      </c>
      <c r="AV127" s="13" t="n">
        <v>0</v>
      </c>
      <c r="AW127" s="13" t="n">
        <v>0</v>
      </c>
      <c r="AX127" s="13" t="n">
        <v>0</v>
      </c>
      <c r="AY127" s="13" t="n">
        <v>1</v>
      </c>
      <c r="AZ127" s="13" t="n">
        <v>0</v>
      </c>
      <c r="BA127" s="23" t="str">
        <f aca="false">_xlfn.TEXTJOIN(", ",TRUE(),IF(AJ127=1,"glutine",IF(AJ127=2,"glutine (tracce)","")),IF(AK127=1,"latte",IF(AK127=2,"latte (tracce)","")),IF(AL127=1,"lattosio",IF(AL127=2,"lattosio (tracce)","")),IF(AM127=1,"uova",IF(AM127=2,"uova (tracce)","")),IF(AN127=1,"pesce",IF(AN127=2,"pesce (tracce)","")),IF(AO127=1,"crostacei",IF(AO127=2,"crostacei (tracce)","")),IF(AP127=1,"molluschi",IF(AP127=2,"molluschi (tracce)","")),IF(AQ127=1,"frutta a guscio",IF(AQ127=2,"frutta a guscio (tracce)","")),IF(AR127=1,"arachidi",IF(AR127=2,"arachidi (tracce)","")),IF(AS127=1,"soia",IF(AS127=2,"soia (tracce)","")),IF(AT127=1,"sesamo",IF(AT127=2,"sesamo (tracce)","")),IF(AU127=1,"sedano",IF(AU127=2,"sedano (tracce)","")),IF(AV127=1,"senape",IF(AV127=2,"senape (tracce)","")),IF(AW127=1,"solfiti",IF(AW127=2,"solfiti (tracce)","")),IF(AX127=1,"lupini",IF(AX127=2,"lupini (tracce)","")),IF(AY127=1,"nichel",IF(AY127=2,"nichel (tracce)","")),IF(AZ127=1,"FODMAP",IF(AZ127=2,"FODMAP (tracce)","")))</f>
        <v>arachidi, nichel</v>
      </c>
      <c r="BB127" s="23" t="n">
        <f aca="false">ROUND(4*C127+4*D127+9*E127+2*N(F127),0)</f>
        <v>612</v>
      </c>
      <c r="BC127" s="23" t="s">
        <v>171</v>
      </c>
      <c r="BD127" s="23"/>
    </row>
    <row r="128" customFormat="false" ht="15" hidden="false" customHeight="false" outlineLevel="0" collapsed="false">
      <c r="A128" s="19" t="s">
        <v>373</v>
      </c>
      <c r="B128" s="20" t="n">
        <v>614</v>
      </c>
      <c r="C128" s="21" t="n">
        <v>8.5</v>
      </c>
      <c r="D128" s="21" t="n">
        <v>21</v>
      </c>
      <c r="E128" s="21" t="n">
        <v>55.5</v>
      </c>
      <c r="F128" s="22" t="n">
        <v>10.3</v>
      </c>
      <c r="G128" s="22" t="n">
        <v>4.4</v>
      </c>
      <c r="H128" s="22" t="n">
        <v>4.15</v>
      </c>
      <c r="I128" s="22" t="n">
        <v>32.4</v>
      </c>
      <c r="J128" s="22" t="n">
        <v>13.6</v>
      </c>
      <c r="K128" s="22" t="n">
        <v>0</v>
      </c>
      <c r="L128" s="22" t="n">
        <v>7</v>
      </c>
      <c r="M128" s="22" t="n">
        <v>748</v>
      </c>
      <c r="N128" s="22" t="n">
        <v>347</v>
      </c>
      <c r="O128" s="22" t="n">
        <v>508</v>
      </c>
      <c r="P128" s="22" t="n">
        <v>279</v>
      </c>
      <c r="Q128" s="22" t="n">
        <v>3.49</v>
      </c>
      <c r="R128" s="22" t="n">
        <v>3.29</v>
      </c>
      <c r="S128" s="22" t="n">
        <v>0</v>
      </c>
      <c r="T128" s="22" t="n">
        <v>0</v>
      </c>
      <c r="U128" s="22" t="n">
        <v>0</v>
      </c>
      <c r="V128" s="22" t="n">
        <v>24.2</v>
      </c>
      <c r="W128" s="22" t="n">
        <v>0.04</v>
      </c>
      <c r="X128" s="22" t="n">
        <v>0.94</v>
      </c>
      <c r="Y128" s="22" t="n">
        <v>3.16</v>
      </c>
      <c r="Z128" s="22" t="n">
        <v>0.1</v>
      </c>
      <c r="AA128" s="22" t="n">
        <v>53</v>
      </c>
      <c r="AB128" s="22" t="n">
        <v>0</v>
      </c>
      <c r="AC128" s="23" t="s">
        <v>358</v>
      </c>
      <c r="AD128" s="23" t="s">
        <v>374</v>
      </c>
      <c r="AE128" s="23" t="s">
        <v>119</v>
      </c>
      <c r="AF128" s="23" t="s">
        <v>215</v>
      </c>
      <c r="AG128" s="23"/>
      <c r="AH128" s="23"/>
      <c r="AI128" s="23"/>
      <c r="AJ128" s="13" t="n">
        <v>0</v>
      </c>
      <c r="AK128" s="13" t="n">
        <v>0</v>
      </c>
      <c r="AL128" s="13" t="n">
        <v>0</v>
      </c>
      <c r="AM128" s="13" t="n">
        <v>0</v>
      </c>
      <c r="AN128" s="13" t="n">
        <v>0</v>
      </c>
      <c r="AO128" s="13" t="n">
        <v>0</v>
      </c>
      <c r="AP128" s="13" t="n">
        <v>0</v>
      </c>
      <c r="AQ128" s="13" t="n">
        <v>1</v>
      </c>
      <c r="AR128" s="13" t="n">
        <v>0</v>
      </c>
      <c r="AS128" s="13" t="n">
        <v>0</v>
      </c>
      <c r="AT128" s="13" t="n">
        <v>0</v>
      </c>
      <c r="AU128" s="13" t="n">
        <v>0</v>
      </c>
      <c r="AV128" s="13" t="n">
        <v>0</v>
      </c>
      <c r="AW128" s="13" t="n">
        <v>0</v>
      </c>
      <c r="AX128" s="13" t="n">
        <v>0</v>
      </c>
      <c r="AY128" s="13" t="n">
        <v>1</v>
      </c>
      <c r="AZ128" s="13" t="n">
        <v>1</v>
      </c>
      <c r="BA128" s="23" t="str">
        <f aca="false">_xlfn.TEXTJOIN(", ",TRUE(),IF(AJ128=1,"glutine",IF(AJ128=2,"glutine (tracce)","")),IF(AK128=1,"latte",IF(AK128=2,"latte (tracce)","")),IF(AL128=1,"lattosio",IF(AL128=2,"lattosio (tracce)","")),IF(AM128=1,"uova",IF(AM128=2,"uova (tracce)","")),IF(AN128=1,"pesce",IF(AN128=2,"pesce (tracce)","")),IF(AO128=1,"crostacei",IF(AO128=2,"crostacei (tracce)","")),IF(AP128=1,"molluschi",IF(AP128=2,"molluschi (tracce)","")),IF(AQ128=1,"frutta a guscio",IF(AQ128=2,"frutta a guscio (tracce)","")),IF(AR128=1,"arachidi",IF(AR128=2,"arachidi (tracce)","")),IF(AS128=1,"soia",IF(AS128=2,"soia (tracce)","")),IF(AT128=1,"sesamo",IF(AT128=2,"sesamo (tracce)","")),IF(AU128=1,"sedano",IF(AU128=2,"sedano (tracce)","")),IF(AV128=1,"senape",IF(AV128=2,"senape (tracce)","")),IF(AW128=1,"solfiti",IF(AW128=2,"solfiti (tracce)","")),IF(AX128=1,"lupini",IF(AX128=2,"lupini (tracce)","")),IF(AY128=1,"nichel",IF(AY128=2,"nichel (tracce)","")),IF(AZ128=1,"FODMAP",IF(AZ128=2,"FODMAP (tracce)","")))</f>
        <v>frutta a guscio, nichel, FODMAP</v>
      </c>
      <c r="BB128" s="23" t="n">
        <f aca="false">ROUND(4*C128+4*D128+9*E128+2*N(F128),0)</f>
        <v>638</v>
      </c>
      <c r="BC128" s="23" t="s">
        <v>70</v>
      </c>
      <c r="BD128" s="23"/>
    </row>
    <row r="129" customFormat="false" ht="15" hidden="false" customHeight="false" outlineLevel="0" collapsed="false">
      <c r="A129" s="19" t="s">
        <v>375</v>
      </c>
      <c r="B129" s="20" t="n">
        <v>486</v>
      </c>
      <c r="C129" s="21" t="n">
        <v>7.7</v>
      </c>
      <c r="D129" s="21" t="n">
        <v>16.5</v>
      </c>
      <c r="E129" s="21" t="n">
        <v>30.7</v>
      </c>
      <c r="F129" s="22" t="n">
        <v>34.4</v>
      </c>
      <c r="G129" s="22" t="n">
        <v>0</v>
      </c>
      <c r="H129" s="22" t="n">
        <v>3.33</v>
      </c>
      <c r="I129" s="22" t="n">
        <v>2.31</v>
      </c>
      <c r="J129" s="22" t="n">
        <v>23.7</v>
      </c>
      <c r="K129" s="22" t="n">
        <v>0</v>
      </c>
      <c r="L129" s="22" t="n">
        <v>16</v>
      </c>
      <c r="M129" s="22" t="n">
        <v>407</v>
      </c>
      <c r="N129" s="22" t="n">
        <v>631</v>
      </c>
      <c r="O129" s="22" t="n">
        <v>860</v>
      </c>
      <c r="P129" s="22" t="n">
        <v>335</v>
      </c>
      <c r="Q129" s="22" t="n">
        <v>7.72</v>
      </c>
      <c r="R129" s="22" t="n">
        <v>4.58</v>
      </c>
      <c r="S129" s="22" t="n">
        <v>3</v>
      </c>
      <c r="T129" s="22" t="n">
        <v>1.6</v>
      </c>
      <c r="U129" s="22" t="n">
        <v>0</v>
      </c>
      <c r="V129" s="22" t="n">
        <v>0.5</v>
      </c>
      <c r="W129" s="22" t="n">
        <v>0.62</v>
      </c>
      <c r="X129" s="22" t="n">
        <v>0.17</v>
      </c>
      <c r="Y129" s="22" t="n">
        <v>8.83</v>
      </c>
      <c r="Z129" s="22"/>
      <c r="AA129" s="22" t="n">
        <v>49</v>
      </c>
      <c r="AB129" s="22" t="n">
        <v>0</v>
      </c>
      <c r="AC129" s="23" t="s">
        <v>358</v>
      </c>
      <c r="AD129" s="23" t="s">
        <v>376</v>
      </c>
      <c r="AE129" s="23" t="s">
        <v>119</v>
      </c>
      <c r="AF129" s="23" t="s">
        <v>215</v>
      </c>
      <c r="AG129" s="23"/>
      <c r="AH129" s="23"/>
      <c r="AI129" s="23"/>
      <c r="AJ129" s="13" t="n">
        <v>0</v>
      </c>
      <c r="AK129" s="13" t="n">
        <v>0</v>
      </c>
      <c r="AL129" s="13" t="n">
        <v>0</v>
      </c>
      <c r="AM129" s="13" t="n">
        <v>0</v>
      </c>
      <c r="AN129" s="13" t="n">
        <v>0</v>
      </c>
      <c r="AO129" s="13" t="n">
        <v>0</v>
      </c>
      <c r="AP129" s="13" t="n">
        <v>0</v>
      </c>
      <c r="AQ129" s="13" t="n">
        <v>0</v>
      </c>
      <c r="AR129" s="13" t="n">
        <v>0</v>
      </c>
      <c r="AS129" s="13" t="n">
        <v>0</v>
      </c>
      <c r="AT129" s="13" t="n">
        <v>0</v>
      </c>
      <c r="AU129" s="13" t="n">
        <v>0</v>
      </c>
      <c r="AV129" s="13" t="n">
        <v>0</v>
      </c>
      <c r="AW129" s="13" t="n">
        <v>0</v>
      </c>
      <c r="AX129" s="13" t="n">
        <v>0</v>
      </c>
      <c r="AY129" s="13" t="n">
        <v>0</v>
      </c>
      <c r="AZ129" s="13" t="n">
        <v>0</v>
      </c>
      <c r="BA129" s="23" t="str">
        <f aca="false">_xlfn.TEXTJOIN(", ",TRUE(),IF(AJ129=1,"glutine",IF(AJ129=2,"glutine (tracce)","")),IF(AK129=1,"latte",IF(AK129=2,"latte (tracce)","")),IF(AL129=1,"lattosio",IF(AL129=2,"lattosio (tracce)","")),IF(AM129=1,"uova",IF(AM129=2,"uova (tracce)","")),IF(AN129=1,"pesce",IF(AN129=2,"pesce (tracce)","")),IF(AO129=1,"crostacei",IF(AO129=2,"crostacei (tracce)","")),IF(AP129=1,"molluschi",IF(AP129=2,"molluschi (tracce)","")),IF(AQ129=1,"frutta a guscio",IF(AQ129=2,"frutta a guscio (tracce)","")),IF(AR129=1,"arachidi",IF(AR129=2,"arachidi (tracce)","")),IF(AS129=1,"soia",IF(AS129=2,"soia (tracce)","")),IF(AT129=1,"sesamo",IF(AT129=2,"sesamo (tracce)","")),IF(AU129=1,"sedano",IF(AU129=2,"sedano (tracce)","")),IF(AV129=1,"senape",IF(AV129=2,"senape (tracce)","")),IF(AW129=1,"solfiti",IF(AW129=2,"solfiti (tracce)","")),IF(AX129=1,"lupini",IF(AX129=2,"lupini (tracce)","")),IF(AY129=1,"nichel",IF(AY129=2,"nichel (tracce)","")),IF(AZ129=1,"FODMAP",IF(AZ129=2,"FODMAP (tracce)","")))</f>
        <v/>
      </c>
      <c r="BB129" s="23" t="n">
        <f aca="false">ROUND(4*C129+4*D129+9*E129+2*N(F129),0)</f>
        <v>442</v>
      </c>
      <c r="BC129" s="23" t="s">
        <v>70</v>
      </c>
      <c r="BD129" s="23"/>
    </row>
    <row r="130" customFormat="false" ht="15" hidden="false" customHeight="false" outlineLevel="0" collapsed="false">
      <c r="A130" s="19" t="s">
        <v>377</v>
      </c>
      <c r="B130" s="20" t="n">
        <v>534</v>
      </c>
      <c r="C130" s="21" t="n">
        <v>1.6</v>
      </c>
      <c r="D130" s="21" t="n">
        <v>18.3</v>
      </c>
      <c r="E130" s="21" t="n">
        <v>42.2</v>
      </c>
      <c r="F130" s="22" t="n">
        <v>27.3</v>
      </c>
      <c r="G130" s="22" t="n">
        <v>1.55</v>
      </c>
      <c r="H130" s="22" t="n">
        <v>3.66</v>
      </c>
      <c r="I130" s="22" t="n">
        <v>7.53</v>
      </c>
      <c r="J130" s="22" t="n">
        <v>28.7</v>
      </c>
      <c r="K130" s="22" t="n">
        <v>0</v>
      </c>
      <c r="L130" s="22" t="n">
        <v>30</v>
      </c>
      <c r="M130" s="22" t="n">
        <v>813</v>
      </c>
      <c r="N130" s="22" t="n">
        <v>255</v>
      </c>
      <c r="O130" s="22" t="n">
        <v>642</v>
      </c>
      <c r="P130" s="22" t="n">
        <v>392</v>
      </c>
      <c r="Q130" s="22" t="n">
        <v>5.73</v>
      </c>
      <c r="R130" s="22" t="n">
        <v>4.34</v>
      </c>
      <c r="S130" s="22" t="n">
        <v>0</v>
      </c>
      <c r="T130" s="22" t="n">
        <v>0.6</v>
      </c>
      <c r="U130" s="22" t="n">
        <v>0</v>
      </c>
      <c r="V130" s="22" t="n">
        <v>0.31</v>
      </c>
      <c r="W130" s="22" t="n">
        <v>1.64</v>
      </c>
      <c r="X130" s="22" t="n">
        <v>0.16</v>
      </c>
      <c r="Y130" s="22" t="n">
        <v>3.08</v>
      </c>
      <c r="Z130" s="22" t="n">
        <v>0.47</v>
      </c>
      <c r="AA130" s="22" t="n">
        <v>87</v>
      </c>
      <c r="AB130" s="22" t="n">
        <v>0</v>
      </c>
      <c r="AC130" s="23" t="s">
        <v>358</v>
      </c>
      <c r="AD130" s="23" t="s">
        <v>378</v>
      </c>
      <c r="AE130" s="23" t="s">
        <v>119</v>
      </c>
      <c r="AF130" s="23" t="s">
        <v>215</v>
      </c>
      <c r="AG130" s="23"/>
      <c r="AH130" s="23"/>
      <c r="AI130" s="23"/>
      <c r="AJ130" s="13" t="n">
        <v>0</v>
      </c>
      <c r="AK130" s="13" t="n">
        <v>0</v>
      </c>
      <c r="AL130" s="13" t="n">
        <v>0</v>
      </c>
      <c r="AM130" s="13" t="n">
        <v>0</v>
      </c>
      <c r="AN130" s="13" t="n">
        <v>0</v>
      </c>
      <c r="AO130" s="13" t="n">
        <v>0</v>
      </c>
      <c r="AP130" s="13" t="n">
        <v>0</v>
      </c>
      <c r="AQ130" s="13" t="n">
        <v>0</v>
      </c>
      <c r="AR130" s="13" t="n">
        <v>0</v>
      </c>
      <c r="AS130" s="13" t="n">
        <v>0</v>
      </c>
      <c r="AT130" s="13" t="n">
        <v>0</v>
      </c>
      <c r="AU130" s="13" t="n">
        <v>0</v>
      </c>
      <c r="AV130" s="13" t="n">
        <v>0</v>
      </c>
      <c r="AW130" s="13" t="n">
        <v>0</v>
      </c>
      <c r="AX130" s="13" t="n">
        <v>0</v>
      </c>
      <c r="AY130" s="13" t="n">
        <v>0</v>
      </c>
      <c r="AZ130" s="13" t="n">
        <v>0</v>
      </c>
      <c r="BA130" s="23" t="str">
        <f aca="false">_xlfn.TEXTJOIN(", ",TRUE(),IF(AJ130=1,"glutine",IF(AJ130=2,"glutine (tracce)","")),IF(AK130=1,"latte",IF(AK130=2,"latte (tracce)","")),IF(AL130=1,"lattosio",IF(AL130=2,"lattosio (tracce)","")),IF(AM130=1,"uova",IF(AM130=2,"uova (tracce)","")),IF(AN130=1,"pesce",IF(AN130=2,"pesce (tracce)","")),IF(AO130=1,"crostacei",IF(AO130=2,"crostacei (tracce)","")),IF(AP130=1,"molluschi",IF(AP130=2,"molluschi (tracce)","")),IF(AQ130=1,"frutta a guscio",IF(AQ130=2,"frutta a guscio (tracce)","")),IF(AR130=1,"arachidi",IF(AR130=2,"arachidi (tracce)","")),IF(AS130=1,"soia",IF(AS130=2,"soia (tracce)","")),IF(AT130=1,"sesamo",IF(AT130=2,"sesamo (tracce)","")),IF(AU130=1,"sedano",IF(AU130=2,"sedano (tracce)","")),IF(AV130=1,"senape",IF(AV130=2,"senape (tracce)","")),IF(AW130=1,"solfiti",IF(AW130=2,"solfiti (tracce)","")),IF(AX130=1,"lupini",IF(AX130=2,"lupini (tracce)","")),IF(AY130=1,"nichel",IF(AY130=2,"nichel (tracce)","")),IF(AZ130=1,"FODMAP",IF(AZ130=2,"FODMAP (tracce)","")))</f>
        <v/>
      </c>
      <c r="BB130" s="23" t="n">
        <f aca="false">ROUND(4*C130+4*D130+9*E130+2*N(F130),0)</f>
        <v>514</v>
      </c>
      <c r="BC130" s="23" t="s">
        <v>70</v>
      </c>
      <c r="BD130" s="23"/>
    </row>
    <row r="131" customFormat="false" ht="15" hidden="false" customHeight="false" outlineLevel="0" collapsed="false">
      <c r="A131" s="19" t="s">
        <v>379</v>
      </c>
      <c r="B131" s="20" t="n">
        <v>559</v>
      </c>
      <c r="C131" s="21" t="n">
        <v>4.7</v>
      </c>
      <c r="D131" s="21" t="n">
        <v>30.2</v>
      </c>
      <c r="E131" s="21" t="n">
        <v>49.1</v>
      </c>
      <c r="F131" s="22" t="n">
        <v>6</v>
      </c>
      <c r="G131" s="22" t="n">
        <v>1.4</v>
      </c>
      <c r="H131" s="22" t="n">
        <v>8.7</v>
      </c>
      <c r="I131" s="22" t="n">
        <v>16.2</v>
      </c>
      <c r="J131" s="22" t="n">
        <v>21</v>
      </c>
      <c r="K131" s="22" t="n">
        <v>0</v>
      </c>
      <c r="L131" s="22" t="n">
        <v>7</v>
      </c>
      <c r="M131" s="22" t="n">
        <v>809</v>
      </c>
      <c r="N131" s="22" t="n">
        <v>46</v>
      </c>
      <c r="O131" s="22" t="n">
        <v>1233</v>
      </c>
      <c r="P131" s="22" t="n">
        <v>592</v>
      </c>
      <c r="Q131" s="22" t="n">
        <v>8.82</v>
      </c>
      <c r="R131" s="22" t="n">
        <v>7.81</v>
      </c>
      <c r="S131" s="22" t="n">
        <v>1</v>
      </c>
      <c r="T131" s="22" t="n">
        <v>1.9</v>
      </c>
      <c r="U131" s="22" t="n">
        <v>0</v>
      </c>
      <c r="V131" s="22" t="n">
        <v>2.18</v>
      </c>
      <c r="W131" s="22" t="n">
        <v>0.27</v>
      </c>
      <c r="X131" s="22" t="n">
        <v>0.15</v>
      </c>
      <c r="Y131" s="22" t="n">
        <v>4.99</v>
      </c>
      <c r="Z131" s="22" t="n">
        <v>0.14</v>
      </c>
      <c r="AA131" s="22" t="n">
        <v>58</v>
      </c>
      <c r="AB131" s="22" t="n">
        <v>0</v>
      </c>
      <c r="AC131" s="23" t="s">
        <v>358</v>
      </c>
      <c r="AD131" s="23" t="s">
        <v>380</v>
      </c>
      <c r="AE131" s="23" t="s">
        <v>119</v>
      </c>
      <c r="AF131" s="23" t="s">
        <v>215</v>
      </c>
      <c r="AG131" s="23"/>
      <c r="AH131" s="23"/>
      <c r="AI131" s="23"/>
      <c r="AJ131" s="13" t="n">
        <v>0</v>
      </c>
      <c r="AK131" s="13" t="n">
        <v>0</v>
      </c>
      <c r="AL131" s="13" t="n">
        <v>0</v>
      </c>
      <c r="AM131" s="13" t="n">
        <v>0</v>
      </c>
      <c r="AN131" s="13" t="n">
        <v>0</v>
      </c>
      <c r="AO131" s="13" t="n">
        <v>0</v>
      </c>
      <c r="AP131" s="13" t="n">
        <v>0</v>
      </c>
      <c r="AQ131" s="13" t="n">
        <v>0</v>
      </c>
      <c r="AR131" s="13" t="n">
        <v>0</v>
      </c>
      <c r="AS131" s="13" t="n">
        <v>0</v>
      </c>
      <c r="AT131" s="13" t="n">
        <v>0</v>
      </c>
      <c r="AU131" s="13" t="n">
        <v>0</v>
      </c>
      <c r="AV131" s="13" t="n">
        <v>0</v>
      </c>
      <c r="AW131" s="13" t="n">
        <v>0</v>
      </c>
      <c r="AX131" s="13" t="n">
        <v>0</v>
      </c>
      <c r="AY131" s="13" t="n">
        <v>1</v>
      </c>
      <c r="AZ131" s="13" t="n">
        <v>0</v>
      </c>
      <c r="BA131" s="23" t="str">
        <f aca="false">_xlfn.TEXTJOIN(", ",TRUE(),IF(AJ131=1,"glutine",IF(AJ131=2,"glutine (tracce)","")),IF(AK131=1,"latte",IF(AK131=2,"latte (tracce)","")),IF(AL131=1,"lattosio",IF(AL131=2,"lattosio (tracce)","")),IF(AM131=1,"uova",IF(AM131=2,"uova (tracce)","")),IF(AN131=1,"pesce",IF(AN131=2,"pesce (tracce)","")),IF(AO131=1,"crostacei",IF(AO131=2,"crostacei (tracce)","")),IF(AP131=1,"molluschi",IF(AP131=2,"molluschi (tracce)","")),IF(AQ131=1,"frutta a guscio",IF(AQ131=2,"frutta a guscio (tracce)","")),IF(AR131=1,"arachidi",IF(AR131=2,"arachidi (tracce)","")),IF(AS131=1,"soia",IF(AS131=2,"soia (tracce)","")),IF(AT131=1,"sesamo",IF(AT131=2,"sesamo (tracce)","")),IF(AU131=1,"sedano",IF(AU131=2,"sedano (tracce)","")),IF(AV131=1,"senape",IF(AV131=2,"senape (tracce)","")),IF(AW131=1,"solfiti",IF(AW131=2,"solfiti (tracce)","")),IF(AX131=1,"lupini",IF(AX131=2,"lupini (tracce)","")),IF(AY131=1,"nichel",IF(AY131=2,"nichel (tracce)","")),IF(AZ131=1,"FODMAP",IF(AZ131=2,"FODMAP (tracce)","")))</f>
        <v>nichel</v>
      </c>
      <c r="BB131" s="23" t="n">
        <f aca="false">ROUND(4*C131+4*D131+9*E131+2*N(F131),0)</f>
        <v>594</v>
      </c>
      <c r="BC131" s="23" t="s">
        <v>70</v>
      </c>
      <c r="BD131" s="23"/>
    </row>
    <row r="132" customFormat="false" ht="15" hidden="false" customHeight="false" outlineLevel="0" collapsed="false">
      <c r="A132" s="19" t="s">
        <v>381</v>
      </c>
      <c r="B132" s="20" t="n">
        <v>573</v>
      </c>
      <c r="C132" s="21" t="n">
        <v>11.7</v>
      </c>
      <c r="D132" s="21" t="n">
        <v>17.7</v>
      </c>
      <c r="E132" s="21" t="n">
        <v>49.7</v>
      </c>
      <c r="F132" s="22" t="n">
        <v>11.8</v>
      </c>
      <c r="G132" s="22" t="n">
        <v>0.3</v>
      </c>
      <c r="H132" s="22" t="n">
        <v>6.96</v>
      </c>
      <c r="I132" s="22" t="n">
        <v>18.8</v>
      </c>
      <c r="J132" s="22" t="n">
        <v>21.8</v>
      </c>
      <c r="K132" s="22" t="n">
        <v>0</v>
      </c>
      <c r="L132" s="22" t="n">
        <v>11</v>
      </c>
      <c r="M132" s="22" t="n">
        <v>468</v>
      </c>
      <c r="N132" s="22" t="n">
        <v>975</v>
      </c>
      <c r="O132" s="22" t="n">
        <v>629</v>
      </c>
      <c r="P132" s="22" t="n">
        <v>351</v>
      </c>
      <c r="Q132" s="22" t="n">
        <v>14.6</v>
      </c>
      <c r="R132" s="22" t="n">
        <v>7.75</v>
      </c>
      <c r="S132" s="22" t="n">
        <v>0</v>
      </c>
      <c r="T132" s="22" t="n">
        <v>0</v>
      </c>
      <c r="U132" s="22" t="n">
        <v>0</v>
      </c>
      <c r="V132" s="22" t="n">
        <v>0.25</v>
      </c>
      <c r="W132" s="22" t="n">
        <v>0.79</v>
      </c>
      <c r="X132" s="22" t="n">
        <v>0.25</v>
      </c>
      <c r="Y132" s="22" t="n">
        <v>4.52</v>
      </c>
      <c r="Z132" s="22" t="n">
        <v>0.79</v>
      </c>
      <c r="AA132" s="22" t="n">
        <v>97</v>
      </c>
      <c r="AB132" s="22" t="n">
        <v>0</v>
      </c>
      <c r="AC132" s="23" t="s">
        <v>358</v>
      </c>
      <c r="AD132" s="23" t="s">
        <v>382</v>
      </c>
      <c r="AE132" s="23" t="s">
        <v>119</v>
      </c>
      <c r="AF132" s="23" t="s">
        <v>215</v>
      </c>
      <c r="AG132" s="23"/>
      <c r="AH132" s="23"/>
      <c r="AI132" s="23"/>
      <c r="AJ132" s="13" t="n">
        <v>0</v>
      </c>
      <c r="AK132" s="13" t="n">
        <v>0</v>
      </c>
      <c r="AL132" s="13" t="n">
        <v>0</v>
      </c>
      <c r="AM132" s="13" t="n">
        <v>0</v>
      </c>
      <c r="AN132" s="13" t="n">
        <v>0</v>
      </c>
      <c r="AO132" s="13" t="n">
        <v>0</v>
      </c>
      <c r="AP132" s="13" t="n">
        <v>0</v>
      </c>
      <c r="AQ132" s="13" t="n">
        <v>0</v>
      </c>
      <c r="AR132" s="13" t="n">
        <v>0</v>
      </c>
      <c r="AS132" s="13" t="n">
        <v>0</v>
      </c>
      <c r="AT132" s="13" t="n">
        <v>1</v>
      </c>
      <c r="AU132" s="13" t="n">
        <v>0</v>
      </c>
      <c r="AV132" s="13" t="n">
        <v>0</v>
      </c>
      <c r="AW132" s="13" t="n">
        <v>0</v>
      </c>
      <c r="AX132" s="13" t="n">
        <v>0</v>
      </c>
      <c r="AY132" s="13" t="n">
        <v>1</v>
      </c>
      <c r="AZ132" s="13" t="n">
        <v>0</v>
      </c>
      <c r="BA132" s="23" t="str">
        <f aca="false">_xlfn.TEXTJOIN(", ",TRUE(),IF(AJ132=1,"glutine",IF(AJ132=2,"glutine (tracce)","")),IF(AK132=1,"latte",IF(AK132=2,"latte (tracce)","")),IF(AL132=1,"lattosio",IF(AL132=2,"lattosio (tracce)","")),IF(AM132=1,"uova",IF(AM132=2,"uova (tracce)","")),IF(AN132=1,"pesce",IF(AN132=2,"pesce (tracce)","")),IF(AO132=1,"crostacei",IF(AO132=2,"crostacei (tracce)","")),IF(AP132=1,"molluschi",IF(AP132=2,"molluschi (tracce)","")),IF(AQ132=1,"frutta a guscio",IF(AQ132=2,"frutta a guscio (tracce)","")),IF(AR132=1,"arachidi",IF(AR132=2,"arachidi (tracce)","")),IF(AS132=1,"soia",IF(AS132=2,"soia (tracce)","")),IF(AT132=1,"sesamo",IF(AT132=2,"sesamo (tracce)","")),IF(AU132=1,"sedano",IF(AU132=2,"sedano (tracce)","")),IF(AV132=1,"senape",IF(AV132=2,"senape (tracce)","")),IF(AW132=1,"solfiti",IF(AW132=2,"solfiti (tracce)","")),IF(AX132=1,"lupini",IF(AX132=2,"lupini (tracce)","")),IF(AY132=1,"nichel",IF(AY132=2,"nichel (tracce)","")),IF(AZ132=1,"FODMAP",IF(AZ132=2,"FODMAP (tracce)","")))</f>
        <v>sesamo, nichel</v>
      </c>
      <c r="BB132" s="23" t="n">
        <f aca="false">ROUND(4*C132+4*D132+9*E132+2*N(F132),0)</f>
        <v>589</v>
      </c>
      <c r="BC132" s="23" t="s">
        <v>70</v>
      </c>
      <c r="BD132" s="23"/>
    </row>
    <row r="133" customFormat="false" ht="15" hidden="false" customHeight="false" outlineLevel="0" collapsed="false">
      <c r="A133" s="2" t="s">
        <v>383</v>
      </c>
      <c r="B133" s="3" t="n">
        <v>884</v>
      </c>
      <c r="C133" s="4" t="n">
        <v>0</v>
      </c>
      <c r="D133" s="4" t="n">
        <v>0</v>
      </c>
      <c r="E133" s="4" t="n">
        <v>100</v>
      </c>
      <c r="F133" s="5" t="n">
        <v>0</v>
      </c>
      <c r="G133" s="5" t="n">
        <v>0</v>
      </c>
      <c r="H133" s="5" t="n">
        <v>13.8</v>
      </c>
      <c r="I133" s="5" t="n">
        <v>73</v>
      </c>
      <c r="J133" s="5" t="n">
        <v>10.5</v>
      </c>
      <c r="K133" s="5" t="n">
        <v>0</v>
      </c>
      <c r="L133" s="5" t="n">
        <v>2</v>
      </c>
      <c r="M133" s="5" t="n">
        <v>1</v>
      </c>
      <c r="N133" s="5" t="n">
        <v>1</v>
      </c>
      <c r="O133" s="5" t="n">
        <v>0</v>
      </c>
      <c r="P133" s="5" t="n">
        <v>0</v>
      </c>
      <c r="Q133" s="5" t="n">
        <v>0.56</v>
      </c>
      <c r="R133" s="5" t="n">
        <v>0</v>
      </c>
      <c r="S133" s="5" t="n">
        <v>0</v>
      </c>
      <c r="T133" s="5" t="n">
        <v>0</v>
      </c>
      <c r="U133" s="5" t="n">
        <v>0</v>
      </c>
      <c r="V133" s="5" t="n">
        <v>14.35</v>
      </c>
      <c r="W133" s="5" t="n">
        <v>0</v>
      </c>
      <c r="X133" s="5" t="n">
        <v>0</v>
      </c>
      <c r="Y133" s="5" t="n">
        <v>0</v>
      </c>
      <c r="Z133" s="5" t="n">
        <v>0</v>
      </c>
      <c r="AA133" s="5" t="n">
        <v>0</v>
      </c>
      <c r="AB133" s="5" t="n">
        <v>0</v>
      </c>
      <c r="AC133" s="6" t="s">
        <v>384</v>
      </c>
      <c r="AD133" s="6" t="s">
        <v>385</v>
      </c>
      <c r="AE133" s="6" t="s">
        <v>119</v>
      </c>
      <c r="AF133" s="6" t="s">
        <v>60</v>
      </c>
      <c r="AG133" s="6" t="n">
        <v>0.91</v>
      </c>
      <c r="AH133" s="6" t="n">
        <v>10</v>
      </c>
      <c r="AI133" s="6" t="s">
        <v>386</v>
      </c>
      <c r="AJ133" s="7" t="n">
        <v>0</v>
      </c>
      <c r="AK133" s="7" t="n">
        <v>0</v>
      </c>
      <c r="AL133" s="7" t="n">
        <v>0</v>
      </c>
      <c r="AM133" s="7" t="n">
        <v>0</v>
      </c>
      <c r="AN133" s="7" t="n">
        <v>0</v>
      </c>
      <c r="AO133" s="7" t="n">
        <v>0</v>
      </c>
      <c r="AP133" s="7" t="n">
        <v>0</v>
      </c>
      <c r="AQ133" s="7" t="n">
        <v>0</v>
      </c>
      <c r="AR133" s="7" t="n">
        <v>0</v>
      </c>
      <c r="AS133" s="7" t="n">
        <v>0</v>
      </c>
      <c r="AT133" s="7" t="n">
        <v>0</v>
      </c>
      <c r="AU133" s="7" t="n">
        <v>0</v>
      </c>
      <c r="AV133" s="7" t="n">
        <v>0</v>
      </c>
      <c r="AW133" s="7" t="n">
        <v>0</v>
      </c>
      <c r="AX133" s="7" t="n">
        <v>0</v>
      </c>
      <c r="AY133" s="7" t="n">
        <v>0</v>
      </c>
      <c r="AZ133" s="7" t="n">
        <v>0</v>
      </c>
      <c r="BA133" s="6" t="str">
        <f aca="false">_xlfn.TEXTJOIN(", ",TRUE(),IF(AJ133=1,"glutine",IF(AJ133=2,"glutine (tracce)","")),IF(AK133=1,"latte",IF(AK133=2,"latte (tracce)","")),IF(AL133=1,"lattosio",IF(AL133=2,"lattosio (tracce)","")),IF(AM133=1,"uova",IF(AM133=2,"uova (tracce)","")),IF(AN133=1,"pesce",IF(AN133=2,"pesce (tracce)","")),IF(AO133=1,"crostacei",IF(AO133=2,"crostacei (tracce)","")),IF(AP133=1,"molluschi",IF(AP133=2,"molluschi (tracce)","")),IF(AQ133=1,"frutta a guscio",IF(AQ133=2,"frutta a guscio (tracce)","")),IF(AR133=1,"arachidi",IF(AR133=2,"arachidi (tracce)","")),IF(AS133=1,"soia",IF(AS133=2,"soia (tracce)","")),IF(AT133=1,"sesamo",IF(AT133=2,"sesamo (tracce)","")),IF(AU133=1,"sedano",IF(AU133=2,"sedano (tracce)","")),IF(AV133=1,"senape",IF(AV133=2,"senape (tracce)","")),IF(AW133=1,"solfiti",IF(AW133=2,"solfiti (tracce)","")),IF(AX133=1,"lupini",IF(AX133=2,"lupini (tracce)","")),IF(AY133=1,"nichel",IF(AY133=2,"nichel (tracce)","")),IF(AZ133=1,"FODMAP",IF(AZ133=2,"FODMAP (tracce)","")))</f>
        <v/>
      </c>
      <c r="BB133" s="6" t="n">
        <f aca="false">ROUND(4*C133+4*D133+9*E133+2*N(F133),0)</f>
        <v>900</v>
      </c>
      <c r="BC133" s="6" t="s">
        <v>70</v>
      </c>
      <c r="BD133" s="6"/>
    </row>
    <row r="134" customFormat="false" ht="15" hidden="false" customHeight="false" outlineLevel="0" collapsed="false">
      <c r="A134" s="8" t="s">
        <v>387</v>
      </c>
      <c r="B134" s="9" t="n">
        <v>884</v>
      </c>
      <c r="C134" s="10" t="n">
        <v>0</v>
      </c>
      <c r="D134" s="10" t="n">
        <v>0</v>
      </c>
      <c r="E134" s="10" t="n">
        <v>100</v>
      </c>
      <c r="F134" s="11" t="n">
        <v>0</v>
      </c>
      <c r="G134" s="11" t="n">
        <v>0</v>
      </c>
      <c r="H134" s="11" t="n">
        <v>9</v>
      </c>
      <c r="I134" s="11" t="n">
        <v>18.4</v>
      </c>
      <c r="J134" s="11" t="n">
        <v>67.8</v>
      </c>
      <c r="K134" s="11" t="n">
        <v>0</v>
      </c>
      <c r="L134" s="11" t="n">
        <v>0</v>
      </c>
      <c r="M134" s="11" t="n">
        <v>0</v>
      </c>
      <c r="N134" s="11" t="n">
        <v>0</v>
      </c>
      <c r="O134" s="11" t="n">
        <v>0</v>
      </c>
      <c r="P134" s="11" t="n">
        <v>0</v>
      </c>
      <c r="Q134" s="11" t="n">
        <v>0</v>
      </c>
      <c r="R134" s="11" t="n">
        <v>0</v>
      </c>
      <c r="S134" s="11" t="n">
        <v>0</v>
      </c>
      <c r="T134" s="11" t="n">
        <v>0</v>
      </c>
      <c r="U134" s="11" t="n">
        <v>0</v>
      </c>
      <c r="V134" s="11" t="n">
        <v>0.5</v>
      </c>
      <c r="W134" s="11" t="n">
        <v>0</v>
      </c>
      <c r="X134" s="11" t="n">
        <v>0</v>
      </c>
      <c r="Y134" s="11" t="n">
        <v>0</v>
      </c>
      <c r="Z134" s="11" t="n">
        <v>0</v>
      </c>
      <c r="AA134" s="11" t="n">
        <v>0</v>
      </c>
      <c r="AB134" s="11" t="n">
        <v>0</v>
      </c>
      <c r="AC134" s="12" t="s">
        <v>384</v>
      </c>
      <c r="AD134" s="12" t="s">
        <v>388</v>
      </c>
      <c r="AE134" s="12" t="s">
        <v>119</v>
      </c>
      <c r="AF134" s="12" t="s">
        <v>60</v>
      </c>
      <c r="AG134" s="12" t="n">
        <v>0.92</v>
      </c>
      <c r="AH134" s="12"/>
      <c r="AI134" s="12"/>
      <c r="AJ134" s="13" t="n">
        <v>0</v>
      </c>
      <c r="AK134" s="13" t="n">
        <v>0</v>
      </c>
      <c r="AL134" s="13" t="n">
        <v>0</v>
      </c>
      <c r="AM134" s="13" t="n">
        <v>0</v>
      </c>
      <c r="AN134" s="13" t="n">
        <v>0</v>
      </c>
      <c r="AO134" s="13" t="n">
        <v>0</v>
      </c>
      <c r="AP134" s="13" t="n">
        <v>0</v>
      </c>
      <c r="AQ134" s="13" t="n">
        <v>0</v>
      </c>
      <c r="AR134" s="13" t="n">
        <v>0</v>
      </c>
      <c r="AS134" s="13" t="n">
        <v>0</v>
      </c>
      <c r="AT134" s="13" t="n">
        <v>0</v>
      </c>
      <c r="AU134" s="13" t="n">
        <v>0</v>
      </c>
      <c r="AV134" s="13" t="n">
        <v>0</v>
      </c>
      <c r="AW134" s="13" t="n">
        <v>0</v>
      </c>
      <c r="AX134" s="13" t="n">
        <v>0</v>
      </c>
      <c r="AY134" s="13" t="n">
        <v>0</v>
      </c>
      <c r="AZ134" s="13" t="n">
        <v>0</v>
      </c>
      <c r="BA134" s="12" t="str">
        <f aca="false">_xlfn.TEXTJOIN(", ",TRUE(),IF(AJ134=1,"glutine",IF(AJ134=2,"glutine (tracce)","")),IF(AK134=1,"latte",IF(AK134=2,"latte (tracce)","")),IF(AL134=1,"lattosio",IF(AL134=2,"lattosio (tracce)","")),IF(AM134=1,"uova",IF(AM134=2,"uova (tracce)","")),IF(AN134=1,"pesce",IF(AN134=2,"pesce (tracce)","")),IF(AO134=1,"crostacei",IF(AO134=2,"crostacei (tracce)","")),IF(AP134=1,"molluschi",IF(AP134=2,"molluschi (tracce)","")),IF(AQ134=1,"frutta a guscio",IF(AQ134=2,"frutta a guscio (tracce)","")),IF(AR134=1,"arachidi",IF(AR134=2,"arachidi (tracce)","")),IF(AS134=1,"soia",IF(AS134=2,"soia (tracce)","")),IF(AT134=1,"sesamo",IF(AT134=2,"sesamo (tracce)","")),IF(AU134=1,"sedano",IF(AU134=2,"sedano (tracce)","")),IF(AV134=1,"senape",IF(AV134=2,"senape (tracce)","")),IF(AW134=1,"solfiti",IF(AW134=2,"solfiti (tracce)","")),IF(AX134=1,"lupini",IF(AX134=2,"lupini (tracce)","")),IF(AY134=1,"nichel",IF(AY134=2,"nichel (tracce)","")),IF(AZ134=1,"FODMAP",IF(AZ134=2,"FODMAP (tracce)","")))</f>
        <v/>
      </c>
      <c r="BB134" s="12" t="n">
        <f aca="false">ROUND(4*C134+4*D134+9*E134+2*N(F134),0)</f>
        <v>900</v>
      </c>
      <c r="BC134" s="12" t="s">
        <v>70</v>
      </c>
      <c r="BD134" s="12" t="s">
        <v>389</v>
      </c>
    </row>
    <row r="135" customFormat="false" ht="15" hidden="false" customHeight="false" outlineLevel="0" collapsed="false">
      <c r="A135" s="8" t="s">
        <v>390</v>
      </c>
      <c r="B135" s="9" t="n">
        <v>717</v>
      </c>
      <c r="C135" s="10" t="n">
        <v>0.1</v>
      </c>
      <c r="D135" s="10" t="n">
        <v>0.9</v>
      </c>
      <c r="E135" s="10" t="n">
        <v>81.1</v>
      </c>
      <c r="F135" s="11" t="n">
        <v>0</v>
      </c>
      <c r="G135" s="11" t="n">
        <v>0.06</v>
      </c>
      <c r="H135" s="11" t="n">
        <v>51.4</v>
      </c>
      <c r="I135" s="11" t="n">
        <v>21</v>
      </c>
      <c r="J135" s="11" t="n">
        <v>3</v>
      </c>
      <c r="K135" s="11" t="n">
        <v>215</v>
      </c>
      <c r="L135" s="11" t="n">
        <v>11</v>
      </c>
      <c r="M135" s="11" t="n">
        <v>24</v>
      </c>
      <c r="N135" s="11" t="n">
        <v>24</v>
      </c>
      <c r="O135" s="11" t="n">
        <v>24</v>
      </c>
      <c r="P135" s="11" t="n">
        <v>2</v>
      </c>
      <c r="Q135" s="11" t="n">
        <v>0.02</v>
      </c>
      <c r="R135" s="11" t="n">
        <v>0.09</v>
      </c>
      <c r="S135" s="11" t="n">
        <v>684</v>
      </c>
      <c r="T135" s="11" t="n">
        <v>0</v>
      </c>
      <c r="U135" s="11" t="n">
        <v>1.5</v>
      </c>
      <c r="V135" s="11" t="n">
        <v>2.32</v>
      </c>
      <c r="W135" s="11" t="n">
        <v>0.01</v>
      </c>
      <c r="X135" s="11" t="n">
        <v>0.03</v>
      </c>
      <c r="Y135" s="11" t="n">
        <v>0.04</v>
      </c>
      <c r="Z135" s="11" t="n">
        <v>0</v>
      </c>
      <c r="AA135" s="11" t="n">
        <v>3</v>
      </c>
      <c r="AB135" s="11" t="n">
        <v>0.17</v>
      </c>
      <c r="AC135" s="12" t="s">
        <v>384</v>
      </c>
      <c r="AD135" s="12" t="s">
        <v>391</v>
      </c>
      <c r="AE135" s="12" t="s">
        <v>119</v>
      </c>
      <c r="AF135" s="12" t="s">
        <v>69</v>
      </c>
      <c r="AG135" s="12"/>
      <c r="AH135" s="12"/>
      <c r="AI135" s="12"/>
      <c r="AJ135" s="13" t="n">
        <v>0</v>
      </c>
      <c r="AK135" s="13" t="n">
        <v>1</v>
      </c>
      <c r="AL135" s="13" t="n">
        <v>0</v>
      </c>
      <c r="AM135" s="13" t="n">
        <v>0</v>
      </c>
      <c r="AN135" s="13" t="n">
        <v>0</v>
      </c>
      <c r="AO135" s="13" t="n">
        <v>0</v>
      </c>
      <c r="AP135" s="13" t="n">
        <v>0</v>
      </c>
      <c r="AQ135" s="13" t="n">
        <v>0</v>
      </c>
      <c r="AR135" s="13" t="n">
        <v>0</v>
      </c>
      <c r="AS135" s="13" t="n">
        <v>0</v>
      </c>
      <c r="AT135" s="13" t="n">
        <v>0</v>
      </c>
      <c r="AU135" s="13" t="n">
        <v>0</v>
      </c>
      <c r="AV135" s="13" t="n">
        <v>0</v>
      </c>
      <c r="AW135" s="13" t="n">
        <v>0</v>
      </c>
      <c r="AX135" s="13" t="n">
        <v>0</v>
      </c>
      <c r="AY135" s="13" t="n">
        <v>0</v>
      </c>
      <c r="AZ135" s="13" t="n">
        <v>0</v>
      </c>
      <c r="BA135" s="12" t="str">
        <f aca="false">_xlfn.TEXTJOIN(", ",TRUE(),IF(AJ135=1,"glutine",IF(AJ135=2,"glutine (tracce)","")),IF(AK135=1,"latte",IF(AK135=2,"latte (tracce)","")),IF(AL135=1,"lattosio",IF(AL135=2,"lattosio (tracce)","")),IF(AM135=1,"uova",IF(AM135=2,"uova (tracce)","")),IF(AN135=1,"pesce",IF(AN135=2,"pesce (tracce)","")),IF(AO135=1,"crostacei",IF(AO135=2,"crostacei (tracce)","")),IF(AP135=1,"molluschi",IF(AP135=2,"molluschi (tracce)","")),IF(AQ135=1,"frutta a guscio",IF(AQ135=2,"frutta a guscio (tracce)","")),IF(AR135=1,"arachidi",IF(AR135=2,"arachidi (tracce)","")),IF(AS135=1,"soia",IF(AS135=2,"soia (tracce)","")),IF(AT135=1,"sesamo",IF(AT135=2,"sesamo (tracce)","")),IF(AU135=1,"sedano",IF(AU135=2,"sedano (tracce)","")),IF(AV135=1,"senape",IF(AV135=2,"senape (tracce)","")),IF(AW135=1,"solfiti",IF(AW135=2,"solfiti (tracce)","")),IF(AX135=1,"lupini",IF(AX135=2,"lupini (tracce)","")),IF(AY135=1,"nichel",IF(AY135=2,"nichel (tracce)","")),IF(AZ135=1,"FODMAP",IF(AZ135=2,"FODMAP (tracce)","")))</f>
        <v>latte</v>
      </c>
      <c r="BB135" s="12" t="n">
        <f aca="false">ROUND(4*C135+4*D135+9*E135+2*N(F135),0)</f>
        <v>734</v>
      </c>
      <c r="BC135" s="12" t="s">
        <v>70</v>
      </c>
      <c r="BD135" s="12" t="s">
        <v>392</v>
      </c>
    </row>
    <row r="136" customFormat="false" ht="15" hidden="false" customHeight="false" outlineLevel="0" collapsed="false">
      <c r="A136" s="8" t="s">
        <v>393</v>
      </c>
      <c r="B136" s="9" t="n">
        <v>160</v>
      </c>
      <c r="C136" s="10" t="n">
        <v>1.8</v>
      </c>
      <c r="D136" s="10" t="n">
        <v>2</v>
      </c>
      <c r="E136" s="10" t="n">
        <v>14.7</v>
      </c>
      <c r="F136" s="11" t="n">
        <v>6.7</v>
      </c>
      <c r="G136" s="11" t="n">
        <v>0.66</v>
      </c>
      <c r="H136" s="11" t="n">
        <v>2.13</v>
      </c>
      <c r="I136" s="11" t="n">
        <v>9.8</v>
      </c>
      <c r="J136" s="11" t="n">
        <v>1.82</v>
      </c>
      <c r="K136" s="11" t="n">
        <v>0</v>
      </c>
      <c r="L136" s="11" t="n">
        <v>7</v>
      </c>
      <c r="M136" s="11" t="n">
        <v>485</v>
      </c>
      <c r="N136" s="11" t="n">
        <v>12</v>
      </c>
      <c r="O136" s="11" t="n">
        <v>52</v>
      </c>
      <c r="P136" s="11" t="n">
        <v>29</v>
      </c>
      <c r="Q136" s="11" t="n">
        <v>0.55</v>
      </c>
      <c r="R136" s="11" t="n">
        <v>0.64</v>
      </c>
      <c r="S136" s="11" t="n">
        <v>7</v>
      </c>
      <c r="T136" s="11" t="n">
        <v>10</v>
      </c>
      <c r="U136" s="11" t="n">
        <v>0</v>
      </c>
      <c r="V136" s="11" t="n">
        <v>2.07</v>
      </c>
      <c r="W136" s="11" t="n">
        <v>0.07</v>
      </c>
      <c r="X136" s="11" t="n">
        <v>0.13</v>
      </c>
      <c r="Y136" s="11" t="n">
        <v>1.74</v>
      </c>
      <c r="Z136" s="11" t="n">
        <v>0.26</v>
      </c>
      <c r="AA136" s="11" t="n">
        <v>81</v>
      </c>
      <c r="AB136" s="11" t="n">
        <v>0</v>
      </c>
      <c r="AC136" s="12" t="s">
        <v>384</v>
      </c>
      <c r="AD136" s="12" t="s">
        <v>394</v>
      </c>
      <c r="AE136" s="12" t="s">
        <v>119</v>
      </c>
      <c r="AF136" s="12" t="s">
        <v>69</v>
      </c>
      <c r="AG136" s="12"/>
      <c r="AH136" s="12"/>
      <c r="AI136" s="12"/>
      <c r="AJ136" s="13" t="n">
        <v>0</v>
      </c>
      <c r="AK136" s="13" t="n">
        <v>0</v>
      </c>
      <c r="AL136" s="13" t="n">
        <v>0</v>
      </c>
      <c r="AM136" s="13" t="n">
        <v>0</v>
      </c>
      <c r="AN136" s="13" t="n">
        <v>0</v>
      </c>
      <c r="AO136" s="13" t="n">
        <v>0</v>
      </c>
      <c r="AP136" s="13" t="n">
        <v>0</v>
      </c>
      <c r="AQ136" s="13" t="n">
        <v>0</v>
      </c>
      <c r="AR136" s="13" t="n">
        <v>0</v>
      </c>
      <c r="AS136" s="13" t="n">
        <v>0</v>
      </c>
      <c r="AT136" s="13" t="n">
        <v>0</v>
      </c>
      <c r="AU136" s="13" t="n">
        <v>0</v>
      </c>
      <c r="AV136" s="13" t="n">
        <v>0</v>
      </c>
      <c r="AW136" s="13" t="n">
        <v>0</v>
      </c>
      <c r="AX136" s="13" t="n">
        <v>0</v>
      </c>
      <c r="AY136" s="13" t="n">
        <v>0</v>
      </c>
      <c r="AZ136" s="13" t="n">
        <v>1</v>
      </c>
      <c r="BA136" s="12" t="str">
        <f aca="false">_xlfn.TEXTJOIN(", ",TRUE(),IF(AJ136=1,"glutine",IF(AJ136=2,"glutine (tracce)","")),IF(AK136=1,"latte",IF(AK136=2,"latte (tracce)","")),IF(AL136=1,"lattosio",IF(AL136=2,"lattosio (tracce)","")),IF(AM136=1,"uova",IF(AM136=2,"uova (tracce)","")),IF(AN136=1,"pesce",IF(AN136=2,"pesce (tracce)","")),IF(AO136=1,"crostacei",IF(AO136=2,"crostacei (tracce)","")),IF(AP136=1,"molluschi",IF(AP136=2,"molluschi (tracce)","")),IF(AQ136=1,"frutta a guscio",IF(AQ136=2,"frutta a guscio (tracce)","")),IF(AR136=1,"arachidi",IF(AR136=2,"arachidi (tracce)","")),IF(AS136=1,"soia",IF(AS136=2,"soia (tracce)","")),IF(AT136=1,"sesamo",IF(AT136=2,"sesamo (tracce)","")),IF(AU136=1,"sedano",IF(AU136=2,"sedano (tracce)","")),IF(AV136=1,"senape",IF(AV136=2,"senape (tracce)","")),IF(AW136=1,"solfiti",IF(AW136=2,"solfiti (tracce)","")),IF(AX136=1,"lupini",IF(AX136=2,"lupini (tracce)","")),IF(AY136=1,"nichel",IF(AY136=2,"nichel (tracce)","")),IF(AZ136=1,"FODMAP",IF(AZ136=2,"FODMAP (tracce)","")))</f>
        <v>FODMAP</v>
      </c>
      <c r="BB136" s="12" t="n">
        <f aca="false">ROUND(4*C136+4*D136+9*E136+2*N(F136),0)</f>
        <v>161</v>
      </c>
      <c r="BC136" s="12" t="s">
        <v>70</v>
      </c>
      <c r="BD136" s="12"/>
    </row>
    <row r="137" customFormat="false" ht="15" hidden="false" customHeight="false" outlineLevel="0" collapsed="false">
      <c r="A137" s="8" t="s">
        <v>395</v>
      </c>
      <c r="B137" s="9" t="n">
        <v>38</v>
      </c>
      <c r="C137" s="10" t="n">
        <v>7.1</v>
      </c>
      <c r="D137" s="10" t="n">
        <v>1.7</v>
      </c>
      <c r="E137" s="10" t="n">
        <v>0.2</v>
      </c>
      <c r="F137" s="11" t="n">
        <v>1.9</v>
      </c>
      <c r="G137" s="11" t="n">
        <v>4.83</v>
      </c>
      <c r="H137" s="11" t="n">
        <v>0.03</v>
      </c>
      <c r="I137" s="11" t="n">
        <v>0.03</v>
      </c>
      <c r="J137" s="11" t="n">
        <v>0.08</v>
      </c>
      <c r="K137" s="11" t="n">
        <v>0</v>
      </c>
      <c r="L137" s="11" t="n">
        <v>28</v>
      </c>
      <c r="M137" s="11" t="n">
        <v>439</v>
      </c>
      <c r="N137" s="11" t="n">
        <v>18</v>
      </c>
      <c r="O137" s="11" t="n">
        <v>40</v>
      </c>
      <c r="P137" s="11" t="n">
        <v>23</v>
      </c>
      <c r="Q137" s="11" t="n">
        <v>1.78</v>
      </c>
      <c r="R137" s="11" t="n">
        <v>0.36</v>
      </c>
      <c r="S137" s="11" t="n">
        <v>32</v>
      </c>
      <c r="T137" s="11" t="n">
        <v>10.6</v>
      </c>
      <c r="U137" s="11" t="n">
        <v>0</v>
      </c>
      <c r="V137" s="11" t="n">
        <v>1.97</v>
      </c>
      <c r="W137" s="11" t="n">
        <v>0.03</v>
      </c>
      <c r="X137" s="11" t="n">
        <v>0.08</v>
      </c>
      <c r="Y137" s="11" t="n">
        <v>1.47</v>
      </c>
      <c r="Z137" s="11" t="n">
        <v>0.13</v>
      </c>
      <c r="AA137" s="11" t="n">
        <v>11</v>
      </c>
      <c r="AB137" s="11" t="n">
        <v>0</v>
      </c>
      <c r="AC137" s="12" t="s">
        <v>384</v>
      </c>
      <c r="AD137" s="12" t="s">
        <v>396</v>
      </c>
      <c r="AE137" s="12" t="s">
        <v>397</v>
      </c>
      <c r="AF137" s="12" t="s">
        <v>84</v>
      </c>
      <c r="AG137" s="12"/>
      <c r="AH137" s="12"/>
      <c r="AI137" s="12"/>
      <c r="AJ137" s="13" t="n">
        <v>0</v>
      </c>
      <c r="AK137" s="13" t="n">
        <v>0</v>
      </c>
      <c r="AL137" s="13" t="n">
        <v>0</v>
      </c>
      <c r="AM137" s="13" t="n">
        <v>0</v>
      </c>
      <c r="AN137" s="13" t="n">
        <v>0</v>
      </c>
      <c r="AO137" s="13" t="n">
        <v>0</v>
      </c>
      <c r="AP137" s="13" t="n">
        <v>0</v>
      </c>
      <c r="AQ137" s="13" t="n">
        <v>0</v>
      </c>
      <c r="AR137" s="13" t="n">
        <v>0</v>
      </c>
      <c r="AS137" s="13" t="n">
        <v>0</v>
      </c>
      <c r="AT137" s="13" t="n">
        <v>0</v>
      </c>
      <c r="AU137" s="13" t="n">
        <v>0</v>
      </c>
      <c r="AV137" s="13" t="n">
        <v>0</v>
      </c>
      <c r="AW137" s="13" t="n">
        <v>0</v>
      </c>
      <c r="AX137" s="13" t="n">
        <v>0</v>
      </c>
      <c r="AY137" s="13" t="n">
        <v>1</v>
      </c>
      <c r="AZ137" s="13" t="n">
        <v>0</v>
      </c>
      <c r="BA137" s="12" t="str">
        <f aca="false">_xlfn.TEXTJOIN(", ",TRUE(),IF(AJ137=1,"glutine",IF(AJ137=2,"glutine (tracce)","")),IF(AK137=1,"latte",IF(AK137=2,"latte (tracce)","")),IF(AL137=1,"lattosio",IF(AL137=2,"lattosio (tracce)","")),IF(AM137=1,"uova",IF(AM137=2,"uova (tracce)","")),IF(AN137=1,"pesce",IF(AN137=2,"pesce (tracce)","")),IF(AO137=1,"crostacei",IF(AO137=2,"crostacei (tracce)","")),IF(AP137=1,"molluschi",IF(AP137=2,"molluschi (tracce)","")),IF(AQ137=1,"frutta a guscio",IF(AQ137=2,"frutta a guscio (tracce)","")),IF(AR137=1,"arachidi",IF(AR137=2,"arachidi (tracce)","")),IF(AS137=1,"soia",IF(AS137=2,"soia (tracce)","")),IF(AT137=1,"sesamo",IF(AT137=2,"sesamo (tracce)","")),IF(AU137=1,"sedano",IF(AU137=2,"sedano (tracce)","")),IF(AV137=1,"senape",IF(AV137=2,"senape (tracce)","")),IF(AW137=1,"solfiti",IF(AW137=2,"solfiti (tracce)","")),IF(AX137=1,"lupini",IF(AX137=2,"lupini (tracce)","")),IF(AY137=1,"nichel",IF(AY137=2,"nichel (tracce)","")),IF(AZ137=1,"FODMAP",IF(AZ137=2,"FODMAP (tracce)","")))</f>
        <v>nichel</v>
      </c>
      <c r="BB137" s="12" t="n">
        <f aca="false">ROUND(4*C137+4*D137+9*E137+2*N(F137),0)</f>
        <v>41</v>
      </c>
      <c r="BC137" s="12" t="s">
        <v>70</v>
      </c>
      <c r="BD137" s="12"/>
    </row>
    <row r="138" customFormat="false" ht="15" hidden="false" customHeight="false" outlineLevel="0" collapsed="false">
      <c r="A138" s="8" t="s">
        <v>398</v>
      </c>
      <c r="B138" s="9" t="n">
        <v>60</v>
      </c>
      <c r="C138" s="10" t="n">
        <v>1.8</v>
      </c>
      <c r="D138" s="10" t="n">
        <v>3.7</v>
      </c>
      <c r="E138" s="10" t="n">
        <v>3.3</v>
      </c>
      <c r="F138" s="11" t="n">
        <v>4</v>
      </c>
      <c r="G138" s="11" t="n">
        <v>0.92</v>
      </c>
      <c r="H138" s="11" t="n">
        <v>0.2</v>
      </c>
      <c r="I138" s="11" t="n">
        <v>2.2</v>
      </c>
      <c r="J138" s="11" t="n">
        <v>0.6</v>
      </c>
      <c r="K138" s="11" t="n">
        <v>0</v>
      </c>
      <c r="L138" s="11" t="n">
        <v>1104</v>
      </c>
      <c r="M138" s="11" t="n">
        <v>152</v>
      </c>
      <c r="N138" s="11" t="n">
        <v>63</v>
      </c>
      <c r="O138" s="11" t="n">
        <v>106</v>
      </c>
      <c r="P138" s="11" t="n">
        <v>48</v>
      </c>
      <c r="Q138" s="11" t="n">
        <v>1.61</v>
      </c>
      <c r="R138" s="11" t="n">
        <v>0.64</v>
      </c>
      <c r="S138" s="11" t="n">
        <v>3</v>
      </c>
      <c r="T138" s="11" t="n">
        <v>0.3</v>
      </c>
      <c r="U138" s="11" t="n">
        <v>0</v>
      </c>
      <c r="V138" s="11" t="n">
        <v>0.4</v>
      </c>
      <c r="W138" s="11" t="n">
        <v>0.18</v>
      </c>
      <c r="X138" s="11" t="n">
        <v>0.07</v>
      </c>
      <c r="Y138" s="11" t="n">
        <v>0.57</v>
      </c>
      <c r="Z138" s="11" t="n">
        <v>0.07</v>
      </c>
      <c r="AA138" s="11" t="n">
        <v>7</v>
      </c>
      <c r="AB138" s="11" t="n">
        <v>0</v>
      </c>
      <c r="AC138" s="12" t="s">
        <v>384</v>
      </c>
      <c r="AD138" s="12" t="s">
        <v>399</v>
      </c>
      <c r="AE138" s="12" t="s">
        <v>400</v>
      </c>
      <c r="AF138" s="12" t="s">
        <v>84</v>
      </c>
      <c r="AG138" s="12"/>
      <c r="AH138" s="12"/>
      <c r="AI138" s="12"/>
      <c r="AJ138" s="13" t="n">
        <v>0</v>
      </c>
      <c r="AK138" s="13" t="n">
        <v>0</v>
      </c>
      <c r="AL138" s="13" t="n">
        <v>0</v>
      </c>
      <c r="AM138" s="13" t="n">
        <v>0</v>
      </c>
      <c r="AN138" s="13" t="n">
        <v>0</v>
      </c>
      <c r="AO138" s="13" t="n">
        <v>0</v>
      </c>
      <c r="AP138" s="13" t="n">
        <v>0</v>
      </c>
      <c r="AQ138" s="13" t="n">
        <v>0</v>
      </c>
      <c r="AR138" s="13" t="n">
        <v>0</v>
      </c>
      <c r="AS138" s="13" t="n">
        <v>0</v>
      </c>
      <c r="AT138" s="13" t="n">
        <v>0</v>
      </c>
      <c r="AU138" s="13" t="n">
        <v>0</v>
      </c>
      <c r="AV138" s="13" t="n">
        <v>1</v>
      </c>
      <c r="AW138" s="13" t="n">
        <v>0</v>
      </c>
      <c r="AX138" s="13" t="n">
        <v>0</v>
      </c>
      <c r="AY138" s="13" t="n">
        <v>0</v>
      </c>
      <c r="AZ138" s="13" t="n">
        <v>0</v>
      </c>
      <c r="BA138" s="12" t="str">
        <f aca="false">_xlfn.TEXTJOIN(", ",TRUE(),IF(AJ138=1,"glutine",IF(AJ138=2,"glutine (tracce)","")),IF(AK138=1,"latte",IF(AK138=2,"latte (tracce)","")),IF(AL138=1,"lattosio",IF(AL138=2,"lattosio (tracce)","")),IF(AM138=1,"uova",IF(AM138=2,"uova (tracce)","")),IF(AN138=1,"pesce",IF(AN138=2,"pesce (tracce)","")),IF(AO138=1,"crostacei",IF(AO138=2,"crostacei (tracce)","")),IF(AP138=1,"molluschi",IF(AP138=2,"molluschi (tracce)","")),IF(AQ138=1,"frutta a guscio",IF(AQ138=2,"frutta a guscio (tracce)","")),IF(AR138=1,"arachidi",IF(AR138=2,"arachidi (tracce)","")),IF(AS138=1,"soia",IF(AS138=2,"soia (tracce)","")),IF(AT138=1,"sesamo",IF(AT138=2,"sesamo (tracce)","")),IF(AU138=1,"sedano",IF(AU138=2,"sedano (tracce)","")),IF(AV138=1,"senape",IF(AV138=2,"senape (tracce)","")),IF(AW138=1,"solfiti",IF(AW138=2,"solfiti (tracce)","")),IF(AX138=1,"lupini",IF(AX138=2,"lupini (tracce)","")),IF(AY138=1,"nichel",IF(AY138=2,"nichel (tracce)","")),IF(AZ138=1,"FODMAP",IF(AZ138=2,"FODMAP (tracce)","")))</f>
        <v>senape</v>
      </c>
      <c r="BB138" s="12" t="n">
        <f aca="false">ROUND(4*C138+4*D138+9*E138+2*N(F138),0)</f>
        <v>60</v>
      </c>
      <c r="BC138" s="12" t="s">
        <v>70</v>
      </c>
      <c r="BD138" s="12"/>
    </row>
    <row r="139" customFormat="false" ht="15" hidden="false" customHeight="false" outlineLevel="0" collapsed="false">
      <c r="A139" s="8" t="s">
        <v>401</v>
      </c>
      <c r="B139" s="9" t="n">
        <v>88</v>
      </c>
      <c r="C139" s="10" t="n">
        <v>17</v>
      </c>
      <c r="D139" s="10" t="n">
        <v>0.5</v>
      </c>
      <c r="E139" s="10" t="n">
        <v>0</v>
      </c>
      <c r="F139" s="11" t="n">
        <v>0</v>
      </c>
      <c r="G139" s="11" t="n">
        <v>15</v>
      </c>
      <c r="H139" s="11" t="n">
        <v>0</v>
      </c>
      <c r="I139" s="11" t="n">
        <v>0</v>
      </c>
      <c r="J139" s="11" t="n">
        <v>0</v>
      </c>
      <c r="K139" s="11" t="n">
        <v>0</v>
      </c>
      <c r="L139" s="11" t="n">
        <v>23</v>
      </c>
      <c r="M139" s="11" t="n">
        <v>112</v>
      </c>
      <c r="N139" s="11" t="n">
        <v>27</v>
      </c>
      <c r="O139" s="11" t="n">
        <v>19</v>
      </c>
      <c r="P139" s="11" t="n">
        <v>12</v>
      </c>
      <c r="Q139" s="11" t="n">
        <v>0.72</v>
      </c>
      <c r="R139" s="11" t="n">
        <v>0.08</v>
      </c>
      <c r="S139" s="11" t="n">
        <v>0</v>
      </c>
      <c r="T139" s="11" t="n">
        <v>0</v>
      </c>
      <c r="U139" s="11" t="n">
        <v>0</v>
      </c>
      <c r="V139" s="11" t="n">
        <v>0</v>
      </c>
      <c r="W139" s="11" t="n">
        <v>0</v>
      </c>
      <c r="X139" s="11" t="n">
        <v>0.02</v>
      </c>
      <c r="Y139" s="11" t="n">
        <v>0</v>
      </c>
      <c r="Z139" s="11" t="n">
        <v>0</v>
      </c>
      <c r="AA139" s="11" t="n">
        <v>0</v>
      </c>
      <c r="AB139" s="11" t="n">
        <v>0</v>
      </c>
      <c r="AC139" s="12" t="s">
        <v>384</v>
      </c>
      <c r="AD139" s="12" t="s">
        <v>402</v>
      </c>
      <c r="AE139" s="12" t="s">
        <v>400</v>
      </c>
      <c r="AF139" s="12" t="s">
        <v>60</v>
      </c>
      <c r="AG139" s="12"/>
      <c r="AH139" s="12"/>
      <c r="AI139" s="12"/>
      <c r="AJ139" s="13" t="n">
        <v>0</v>
      </c>
      <c r="AK139" s="13" t="n">
        <v>0</v>
      </c>
      <c r="AL139" s="13" t="n">
        <v>0</v>
      </c>
      <c r="AM139" s="13" t="n">
        <v>0</v>
      </c>
      <c r="AN139" s="13" t="n">
        <v>0</v>
      </c>
      <c r="AO139" s="13" t="n">
        <v>0</v>
      </c>
      <c r="AP139" s="13" t="n">
        <v>0</v>
      </c>
      <c r="AQ139" s="13" t="n">
        <v>0</v>
      </c>
      <c r="AR139" s="13" t="n">
        <v>0</v>
      </c>
      <c r="AS139" s="13" t="n">
        <v>0</v>
      </c>
      <c r="AT139" s="13" t="n">
        <v>0</v>
      </c>
      <c r="AU139" s="13" t="n">
        <v>0</v>
      </c>
      <c r="AV139" s="13" t="n">
        <v>0</v>
      </c>
      <c r="AW139" s="13" t="n">
        <v>1</v>
      </c>
      <c r="AX139" s="13" t="n">
        <v>0</v>
      </c>
      <c r="AY139" s="13" t="n">
        <v>0</v>
      </c>
      <c r="AZ139" s="13" t="n">
        <v>0</v>
      </c>
      <c r="BA139" s="12" t="str">
        <f aca="false">_xlfn.TEXTJOIN(", ",TRUE(),IF(AJ139=1,"glutine",IF(AJ139=2,"glutine (tracce)","")),IF(AK139=1,"latte",IF(AK139=2,"latte (tracce)","")),IF(AL139=1,"lattosio",IF(AL139=2,"lattosio (tracce)","")),IF(AM139=1,"uova",IF(AM139=2,"uova (tracce)","")),IF(AN139=1,"pesce",IF(AN139=2,"pesce (tracce)","")),IF(AO139=1,"crostacei",IF(AO139=2,"crostacei (tracce)","")),IF(AP139=1,"molluschi",IF(AP139=2,"molluschi (tracce)","")),IF(AQ139=1,"frutta a guscio",IF(AQ139=2,"frutta a guscio (tracce)","")),IF(AR139=1,"arachidi",IF(AR139=2,"arachidi (tracce)","")),IF(AS139=1,"soia",IF(AS139=2,"soia (tracce)","")),IF(AT139=1,"sesamo",IF(AT139=2,"sesamo (tracce)","")),IF(AU139=1,"sedano",IF(AU139=2,"sedano (tracce)","")),IF(AV139=1,"senape",IF(AV139=2,"senape (tracce)","")),IF(AW139=1,"solfiti",IF(AW139=2,"solfiti (tracce)","")),IF(AX139=1,"lupini",IF(AX139=2,"lupini (tracce)","")),IF(AY139=1,"nichel",IF(AY139=2,"nichel (tracce)","")),IF(AZ139=1,"FODMAP",IF(AZ139=2,"FODMAP (tracce)","")))</f>
        <v>solfiti</v>
      </c>
      <c r="BB139" s="12" t="n">
        <f aca="false">ROUND(4*C139+4*D139+9*E139+2*N(F139),0)</f>
        <v>70</v>
      </c>
      <c r="BC139" s="12" t="s">
        <v>70</v>
      </c>
      <c r="BD139" s="12"/>
    </row>
    <row r="140" customFormat="false" ht="15" hidden="false" customHeight="false" outlineLevel="0" collapsed="false">
      <c r="A140" s="8" t="s">
        <v>403</v>
      </c>
      <c r="B140" s="9" t="n">
        <v>53</v>
      </c>
      <c r="C140" s="10" t="n">
        <v>4.1</v>
      </c>
      <c r="D140" s="10" t="n">
        <v>8.1</v>
      </c>
      <c r="E140" s="10" t="n">
        <v>0.6</v>
      </c>
      <c r="F140" s="11" t="n">
        <v>0.8</v>
      </c>
      <c r="G140" s="11" t="n">
        <v>0.4</v>
      </c>
      <c r="H140" s="11" t="n">
        <v>0.07</v>
      </c>
      <c r="I140" s="11" t="n">
        <v>0.1</v>
      </c>
      <c r="J140" s="11" t="n">
        <v>0.2</v>
      </c>
      <c r="K140" s="11" t="n">
        <v>0</v>
      </c>
      <c r="L140" s="11" t="n">
        <v>5493</v>
      </c>
      <c r="M140" s="11" t="n">
        <v>435</v>
      </c>
      <c r="N140" s="11" t="n">
        <v>33</v>
      </c>
      <c r="O140" s="11" t="n">
        <v>166</v>
      </c>
      <c r="P140" s="11" t="n">
        <v>43</v>
      </c>
      <c r="Q140" s="11" t="n">
        <v>1.45</v>
      </c>
      <c r="R140" s="11" t="n">
        <v>0.43</v>
      </c>
      <c r="S140" s="11" t="n">
        <v>0</v>
      </c>
      <c r="T140" s="11" t="n">
        <v>0</v>
      </c>
      <c r="U140" s="11" t="n">
        <v>0</v>
      </c>
      <c r="V140" s="11" t="n">
        <v>0</v>
      </c>
      <c r="W140" s="11" t="n">
        <v>0.06</v>
      </c>
      <c r="X140" s="11" t="n">
        <v>0.15</v>
      </c>
      <c r="Y140" s="11" t="n">
        <v>3.95</v>
      </c>
      <c r="Z140" s="11" t="n">
        <v>0.2</v>
      </c>
      <c r="AA140" s="11" t="n">
        <v>18</v>
      </c>
      <c r="AB140" s="11" t="n">
        <v>0</v>
      </c>
      <c r="AC140" s="12" t="s">
        <v>384</v>
      </c>
      <c r="AD140" s="12" t="s">
        <v>404</v>
      </c>
      <c r="AE140" s="12" t="s">
        <v>400</v>
      </c>
      <c r="AF140" s="12" t="s">
        <v>60</v>
      </c>
      <c r="AG140" s="12"/>
      <c r="AH140" s="12"/>
      <c r="AI140" s="12"/>
      <c r="AJ140" s="13" t="n">
        <v>1</v>
      </c>
      <c r="AK140" s="13" t="n">
        <v>0</v>
      </c>
      <c r="AL140" s="13" t="n">
        <v>0</v>
      </c>
      <c r="AM140" s="13" t="n">
        <v>0</v>
      </c>
      <c r="AN140" s="13" t="n">
        <v>0</v>
      </c>
      <c r="AO140" s="13" t="n">
        <v>0</v>
      </c>
      <c r="AP140" s="13" t="n">
        <v>0</v>
      </c>
      <c r="AQ140" s="13" t="n">
        <v>0</v>
      </c>
      <c r="AR140" s="13" t="n">
        <v>0</v>
      </c>
      <c r="AS140" s="13" t="n">
        <v>1</v>
      </c>
      <c r="AT140" s="13" t="n">
        <v>0</v>
      </c>
      <c r="AU140" s="13" t="n">
        <v>0</v>
      </c>
      <c r="AV140" s="13" t="n">
        <v>0</v>
      </c>
      <c r="AW140" s="13" t="n">
        <v>0</v>
      </c>
      <c r="AX140" s="13" t="n">
        <v>0</v>
      </c>
      <c r="AY140" s="13" t="n">
        <v>1</v>
      </c>
      <c r="AZ140" s="13" t="n">
        <v>0</v>
      </c>
      <c r="BA140" s="12" t="str">
        <f aca="false">_xlfn.TEXTJOIN(", ",TRUE(),IF(AJ140=1,"glutine",IF(AJ140=2,"glutine (tracce)","")),IF(AK140=1,"latte",IF(AK140=2,"latte (tracce)","")),IF(AL140=1,"lattosio",IF(AL140=2,"lattosio (tracce)","")),IF(AM140=1,"uova",IF(AM140=2,"uova (tracce)","")),IF(AN140=1,"pesce",IF(AN140=2,"pesce (tracce)","")),IF(AO140=1,"crostacei",IF(AO140=2,"crostacei (tracce)","")),IF(AP140=1,"molluschi",IF(AP140=2,"molluschi (tracce)","")),IF(AQ140=1,"frutta a guscio",IF(AQ140=2,"frutta a guscio (tracce)","")),IF(AR140=1,"arachidi",IF(AR140=2,"arachidi (tracce)","")),IF(AS140=1,"soia",IF(AS140=2,"soia (tracce)","")),IF(AT140=1,"sesamo",IF(AT140=2,"sesamo (tracce)","")),IF(AU140=1,"sedano",IF(AU140=2,"sedano (tracce)","")),IF(AV140=1,"senape",IF(AV140=2,"senape (tracce)","")),IF(AW140=1,"solfiti",IF(AW140=2,"solfiti (tracce)","")),IF(AX140=1,"lupini",IF(AX140=2,"lupini (tracce)","")),IF(AY140=1,"nichel",IF(AY140=2,"nichel (tracce)","")),IF(AZ140=1,"FODMAP",IF(AZ140=2,"FODMAP (tracce)","")))</f>
        <v>glutine, soia, nichel</v>
      </c>
      <c r="BB140" s="12" t="n">
        <f aca="false">ROUND(4*C140+4*D140+9*E140+2*N(F140),0)</f>
        <v>56</v>
      </c>
      <c r="BC140" s="12" t="s">
        <v>70</v>
      </c>
      <c r="BD140" s="12"/>
    </row>
    <row r="141" customFormat="false" ht="15" hidden="false" customHeight="false" outlineLevel="0" collapsed="false">
      <c r="A141" s="14" t="s">
        <v>405</v>
      </c>
      <c r="B141" s="15" t="n">
        <v>584</v>
      </c>
      <c r="C141" s="16" t="n">
        <v>19</v>
      </c>
      <c r="D141" s="16" t="n">
        <v>12.5</v>
      </c>
      <c r="E141" s="16" t="n">
        <v>46</v>
      </c>
      <c r="F141" s="17" t="n">
        <v>13</v>
      </c>
      <c r="G141" s="17" t="n">
        <v>11</v>
      </c>
      <c r="H141" s="17" t="n">
        <v>27</v>
      </c>
      <c r="I141" s="17" t="n">
        <v>14</v>
      </c>
      <c r="J141" s="17" t="n">
        <v>1.4</v>
      </c>
      <c r="K141" s="17" t="n">
        <v>3</v>
      </c>
      <c r="L141" s="17" t="n">
        <v>20</v>
      </c>
      <c r="M141" s="17" t="n">
        <v>715</v>
      </c>
      <c r="N141" s="17" t="n">
        <v>73</v>
      </c>
      <c r="O141" s="17" t="n">
        <v>308</v>
      </c>
      <c r="P141" s="17" t="n">
        <v>228</v>
      </c>
      <c r="Q141" s="17" t="n">
        <v>11.9</v>
      </c>
      <c r="R141" s="17" t="n">
        <v>3.31</v>
      </c>
      <c r="S141" s="17" t="n">
        <v>2</v>
      </c>
      <c r="T141" s="17" t="n">
        <v>0</v>
      </c>
      <c r="U141" s="17" t="n">
        <v>0</v>
      </c>
      <c r="V141" s="17" t="n">
        <v>0.6</v>
      </c>
      <c r="W141" s="17" t="n">
        <v>0.03</v>
      </c>
      <c r="X141" s="17" t="n">
        <v>0.08</v>
      </c>
      <c r="Y141" s="17" t="n">
        <v>1.05</v>
      </c>
      <c r="Z141" s="17" t="n">
        <v>0.04</v>
      </c>
      <c r="AA141" s="17" t="n">
        <v>0</v>
      </c>
      <c r="AB141" s="17" t="n">
        <v>0</v>
      </c>
      <c r="AC141" s="18" t="s">
        <v>406</v>
      </c>
      <c r="AD141" s="18" t="s">
        <v>407</v>
      </c>
      <c r="AE141" s="18" t="s">
        <v>119</v>
      </c>
      <c r="AF141" s="18" t="s">
        <v>84</v>
      </c>
      <c r="AG141" s="18"/>
      <c r="AH141" s="18"/>
      <c r="AI141" s="18"/>
      <c r="AJ141" s="7" t="n">
        <v>0</v>
      </c>
      <c r="AK141" s="7" t="n">
        <v>2</v>
      </c>
      <c r="AL141" s="7" t="n">
        <v>0</v>
      </c>
      <c r="AM141" s="7" t="n">
        <v>0</v>
      </c>
      <c r="AN141" s="7" t="n">
        <v>0</v>
      </c>
      <c r="AO141" s="7" t="n">
        <v>0</v>
      </c>
      <c r="AP141" s="7" t="n">
        <v>0</v>
      </c>
      <c r="AQ141" s="7" t="n">
        <v>2</v>
      </c>
      <c r="AR141" s="7" t="n">
        <v>0</v>
      </c>
      <c r="AS141" s="7" t="n">
        <v>2</v>
      </c>
      <c r="AT141" s="7" t="n">
        <v>0</v>
      </c>
      <c r="AU141" s="7" t="n">
        <v>0</v>
      </c>
      <c r="AV141" s="7" t="n">
        <v>0</v>
      </c>
      <c r="AW141" s="7" t="n">
        <v>0</v>
      </c>
      <c r="AX141" s="7" t="n">
        <v>0</v>
      </c>
      <c r="AY141" s="7" t="n">
        <v>1</v>
      </c>
      <c r="AZ141" s="7" t="n">
        <v>0</v>
      </c>
      <c r="BA141" s="18" t="str">
        <f aca="false">_xlfn.TEXTJOIN(", ",TRUE(),IF(AJ141=1,"glutine",IF(AJ141=2,"glutine (tracce)","")),IF(AK141=1,"latte",IF(AK141=2,"latte (tracce)","")),IF(AL141=1,"lattosio",IF(AL141=2,"lattosio (tracce)","")),IF(AM141=1,"uova",IF(AM141=2,"uova (tracce)","")),IF(AN141=1,"pesce",IF(AN141=2,"pesce (tracce)","")),IF(AO141=1,"crostacei",IF(AO141=2,"crostacei (tracce)","")),IF(AP141=1,"molluschi",IF(AP141=2,"molluschi (tracce)","")),IF(AQ141=1,"frutta a guscio",IF(AQ141=2,"frutta a guscio (tracce)","")),IF(AR141=1,"arachidi",IF(AR141=2,"arachidi (tracce)","")),IF(AS141=1,"soia",IF(AS141=2,"soia (tracce)","")),IF(AT141=1,"sesamo",IF(AT141=2,"sesamo (tracce)","")),IF(AU141=1,"sedano",IF(AU141=2,"sedano (tracce)","")),IF(AV141=1,"senape",IF(AV141=2,"senape (tracce)","")),IF(AW141=1,"solfiti",IF(AW141=2,"solfiti (tracce)","")),IF(AX141=1,"lupini",IF(AX141=2,"lupini (tracce)","")),IF(AY141=1,"nichel",IF(AY141=2,"nichel (tracce)","")),IF(AZ141=1,"FODMAP",IF(AZ141=2,"FODMAP (tracce)","")))</f>
        <v>latte (tracce), frutta a guscio (tracce), soia (tracce), nichel</v>
      </c>
      <c r="BB141" s="18" t="n">
        <f aca="false">ROUND(4*C141+4*D141+9*E141+2*N(F141),0)</f>
        <v>566</v>
      </c>
      <c r="BC141" s="18" t="s">
        <v>171</v>
      </c>
      <c r="BD141" s="18"/>
    </row>
    <row r="142" customFormat="false" ht="15" hidden="false" customHeight="false" outlineLevel="0" collapsed="false">
      <c r="A142" s="19" t="s">
        <v>408</v>
      </c>
      <c r="B142" s="20" t="n">
        <v>228</v>
      </c>
      <c r="C142" s="21" t="n">
        <v>21</v>
      </c>
      <c r="D142" s="21" t="n">
        <v>19.6</v>
      </c>
      <c r="E142" s="21" t="n">
        <v>13.7</v>
      </c>
      <c r="F142" s="22" t="n">
        <v>37</v>
      </c>
      <c r="G142" s="22" t="n">
        <v>1.75</v>
      </c>
      <c r="H142" s="22" t="n">
        <v>8.07</v>
      </c>
      <c r="I142" s="22" t="n">
        <v>4.57</v>
      </c>
      <c r="J142" s="22" t="n">
        <v>0.44</v>
      </c>
      <c r="K142" s="22" t="n">
        <v>0</v>
      </c>
      <c r="L142" s="22" t="n">
        <v>21</v>
      </c>
      <c r="M142" s="22" t="n">
        <v>1524</v>
      </c>
      <c r="N142" s="22" t="n">
        <v>128</v>
      </c>
      <c r="O142" s="22" t="n">
        <v>734</v>
      </c>
      <c r="P142" s="22" t="n">
        <v>499</v>
      </c>
      <c r="Q142" s="22" t="n">
        <v>13.86</v>
      </c>
      <c r="R142" s="22" t="n">
        <v>6.81</v>
      </c>
      <c r="S142" s="22" t="n">
        <v>0</v>
      </c>
      <c r="T142" s="22" t="n">
        <v>0</v>
      </c>
      <c r="U142" s="22" t="n">
        <v>0</v>
      </c>
      <c r="V142" s="22" t="n">
        <v>0.1</v>
      </c>
      <c r="W142" s="22" t="n">
        <v>0.08</v>
      </c>
      <c r="X142" s="22" t="n">
        <v>0.24</v>
      </c>
      <c r="Y142" s="22" t="n">
        <v>2.19</v>
      </c>
      <c r="Z142" s="22" t="n">
        <v>0.12</v>
      </c>
      <c r="AA142" s="22" t="n">
        <v>32</v>
      </c>
      <c r="AB142" s="22" t="n">
        <v>0</v>
      </c>
      <c r="AC142" s="23" t="s">
        <v>406</v>
      </c>
      <c r="AD142" s="23" t="s">
        <v>409</v>
      </c>
      <c r="AE142" s="23" t="s">
        <v>59</v>
      </c>
      <c r="AF142" s="23" t="s">
        <v>215</v>
      </c>
      <c r="AG142" s="23"/>
      <c r="AH142" s="23"/>
      <c r="AI142" s="23"/>
      <c r="AJ142" s="13" t="n">
        <v>0</v>
      </c>
      <c r="AK142" s="13" t="n">
        <v>0</v>
      </c>
      <c r="AL142" s="13" t="n">
        <v>0</v>
      </c>
      <c r="AM142" s="13" t="n">
        <v>0</v>
      </c>
      <c r="AN142" s="13" t="n">
        <v>0</v>
      </c>
      <c r="AO142" s="13" t="n">
        <v>0</v>
      </c>
      <c r="AP142" s="13" t="n">
        <v>0</v>
      </c>
      <c r="AQ142" s="13" t="n">
        <v>0</v>
      </c>
      <c r="AR142" s="13" t="n">
        <v>0</v>
      </c>
      <c r="AS142" s="13" t="n">
        <v>0</v>
      </c>
      <c r="AT142" s="13" t="n">
        <v>0</v>
      </c>
      <c r="AU142" s="13" t="n">
        <v>0</v>
      </c>
      <c r="AV142" s="13" t="n">
        <v>0</v>
      </c>
      <c r="AW142" s="13" t="n">
        <v>0</v>
      </c>
      <c r="AX142" s="13" t="n">
        <v>0</v>
      </c>
      <c r="AY142" s="13" t="n">
        <v>1</v>
      </c>
      <c r="AZ142" s="13" t="n">
        <v>0</v>
      </c>
      <c r="BA142" s="23" t="str">
        <f aca="false">_xlfn.TEXTJOIN(", ",TRUE(),IF(AJ142=1,"glutine",IF(AJ142=2,"glutine (tracce)","")),IF(AK142=1,"latte",IF(AK142=2,"latte (tracce)","")),IF(AL142=1,"lattosio",IF(AL142=2,"lattosio (tracce)","")),IF(AM142=1,"uova",IF(AM142=2,"uova (tracce)","")),IF(AN142=1,"pesce",IF(AN142=2,"pesce (tracce)","")),IF(AO142=1,"crostacei",IF(AO142=2,"crostacei (tracce)","")),IF(AP142=1,"molluschi",IF(AP142=2,"molluschi (tracce)","")),IF(AQ142=1,"frutta a guscio",IF(AQ142=2,"frutta a guscio (tracce)","")),IF(AR142=1,"arachidi",IF(AR142=2,"arachidi (tracce)","")),IF(AS142=1,"soia",IF(AS142=2,"soia (tracce)","")),IF(AT142=1,"sesamo",IF(AT142=2,"sesamo (tracce)","")),IF(AU142=1,"sedano",IF(AU142=2,"sedano (tracce)","")),IF(AV142=1,"senape",IF(AV142=2,"senape (tracce)","")),IF(AW142=1,"solfiti",IF(AW142=2,"solfiti (tracce)","")),IF(AX142=1,"lupini",IF(AX142=2,"lupini (tracce)","")),IF(AY142=1,"nichel",IF(AY142=2,"nichel (tracce)","")),IF(AZ142=1,"FODMAP",IF(AZ142=2,"FODMAP (tracce)","")))</f>
        <v>nichel</v>
      </c>
      <c r="BB142" s="23" t="n">
        <f aca="false">ROUND(4*C142+4*D142+9*E142+2*N(F142),0)</f>
        <v>360</v>
      </c>
      <c r="BC142" s="23" t="s">
        <v>70</v>
      </c>
      <c r="BD142" s="23"/>
    </row>
    <row r="143" customFormat="false" ht="15" hidden="false" customHeight="false" outlineLevel="0" collapsed="false">
      <c r="A143" s="19" t="s">
        <v>410</v>
      </c>
      <c r="B143" s="20" t="n">
        <v>304</v>
      </c>
      <c r="C143" s="21" t="n">
        <v>82.2</v>
      </c>
      <c r="D143" s="21" t="n">
        <v>0.3</v>
      </c>
      <c r="E143" s="21" t="n">
        <v>0</v>
      </c>
      <c r="F143" s="22" t="n">
        <v>0.2</v>
      </c>
      <c r="G143" s="22" t="n">
        <v>82.1</v>
      </c>
      <c r="H143" s="22" t="n">
        <v>0</v>
      </c>
      <c r="I143" s="22" t="n">
        <v>0</v>
      </c>
      <c r="J143" s="22" t="n">
        <v>0</v>
      </c>
      <c r="K143" s="22" t="n">
        <v>0</v>
      </c>
      <c r="L143" s="22" t="n">
        <v>4</v>
      </c>
      <c r="M143" s="22" t="n">
        <v>52</v>
      </c>
      <c r="N143" s="22" t="n">
        <v>6</v>
      </c>
      <c r="O143" s="22" t="n">
        <v>4</v>
      </c>
      <c r="P143" s="22" t="n">
        <v>2</v>
      </c>
      <c r="Q143" s="22" t="n">
        <v>0.42</v>
      </c>
      <c r="R143" s="22" t="n">
        <v>0.22</v>
      </c>
      <c r="S143" s="22" t="n">
        <v>0</v>
      </c>
      <c r="T143" s="22" t="n">
        <v>0.5</v>
      </c>
      <c r="U143" s="22" t="n">
        <v>0</v>
      </c>
      <c r="V143" s="22" t="n">
        <v>0</v>
      </c>
      <c r="W143" s="22" t="n">
        <v>0</v>
      </c>
      <c r="X143" s="22" t="n">
        <v>0.04</v>
      </c>
      <c r="Y143" s="22" t="n">
        <v>0.12</v>
      </c>
      <c r="Z143" s="22" t="n">
        <v>0.02</v>
      </c>
      <c r="AA143" s="22" t="n">
        <v>2</v>
      </c>
      <c r="AB143" s="22" t="n">
        <v>0</v>
      </c>
      <c r="AC143" s="23" t="s">
        <v>406</v>
      </c>
      <c r="AD143" s="23" t="s">
        <v>411</v>
      </c>
      <c r="AE143" s="23" t="s">
        <v>224</v>
      </c>
      <c r="AF143" s="23" t="s">
        <v>84</v>
      </c>
      <c r="AG143" s="23"/>
      <c r="AH143" s="23" t="n">
        <v>8</v>
      </c>
      <c r="AI143" s="23" t="s">
        <v>412</v>
      </c>
      <c r="AJ143" s="13" t="n">
        <v>0</v>
      </c>
      <c r="AK143" s="13" t="n">
        <v>0</v>
      </c>
      <c r="AL143" s="13" t="n">
        <v>0</v>
      </c>
      <c r="AM143" s="13" t="n">
        <v>0</v>
      </c>
      <c r="AN143" s="13" t="n">
        <v>0</v>
      </c>
      <c r="AO143" s="13" t="n">
        <v>0</v>
      </c>
      <c r="AP143" s="13" t="n">
        <v>0</v>
      </c>
      <c r="AQ143" s="13" t="n">
        <v>0</v>
      </c>
      <c r="AR143" s="13" t="n">
        <v>0</v>
      </c>
      <c r="AS143" s="13" t="n">
        <v>0</v>
      </c>
      <c r="AT143" s="13" t="n">
        <v>0</v>
      </c>
      <c r="AU143" s="13" t="n">
        <v>0</v>
      </c>
      <c r="AV143" s="13" t="n">
        <v>0</v>
      </c>
      <c r="AW143" s="13" t="n">
        <v>0</v>
      </c>
      <c r="AX143" s="13" t="n">
        <v>0</v>
      </c>
      <c r="AY143" s="13" t="n">
        <v>0</v>
      </c>
      <c r="AZ143" s="13" t="n">
        <v>1</v>
      </c>
      <c r="BA143" s="23" t="str">
        <f aca="false">_xlfn.TEXTJOIN(", ",TRUE(),IF(AJ143=1,"glutine",IF(AJ143=2,"glutine (tracce)","")),IF(AK143=1,"latte",IF(AK143=2,"latte (tracce)","")),IF(AL143=1,"lattosio",IF(AL143=2,"lattosio (tracce)","")),IF(AM143=1,"uova",IF(AM143=2,"uova (tracce)","")),IF(AN143=1,"pesce",IF(AN143=2,"pesce (tracce)","")),IF(AO143=1,"crostacei",IF(AO143=2,"crostacei (tracce)","")),IF(AP143=1,"molluschi",IF(AP143=2,"molluschi (tracce)","")),IF(AQ143=1,"frutta a guscio",IF(AQ143=2,"frutta a guscio (tracce)","")),IF(AR143=1,"arachidi",IF(AR143=2,"arachidi (tracce)","")),IF(AS143=1,"soia",IF(AS143=2,"soia (tracce)","")),IF(AT143=1,"sesamo",IF(AT143=2,"sesamo (tracce)","")),IF(AU143=1,"sedano",IF(AU143=2,"sedano (tracce)","")),IF(AV143=1,"senape",IF(AV143=2,"senape (tracce)","")),IF(AW143=1,"solfiti",IF(AW143=2,"solfiti (tracce)","")),IF(AX143=1,"lupini",IF(AX143=2,"lupini (tracce)","")),IF(AY143=1,"nichel",IF(AY143=2,"nichel (tracce)","")),IF(AZ143=1,"FODMAP",IF(AZ143=2,"FODMAP (tracce)","")))</f>
        <v>FODMAP</v>
      </c>
      <c r="BB143" s="23" t="n">
        <f aca="false">ROUND(4*C143+4*D143+9*E143+2*N(F143),0)</f>
        <v>330</v>
      </c>
      <c r="BC143" s="23" t="s">
        <v>70</v>
      </c>
      <c r="BD143" s="23"/>
    </row>
    <row r="144" customFormat="false" ht="15" hidden="false" customHeight="false" outlineLevel="0" collapsed="false">
      <c r="A144" s="19" t="s">
        <v>413</v>
      </c>
      <c r="B144" s="20" t="n">
        <v>150</v>
      </c>
      <c r="C144" s="21" t="n">
        <v>36</v>
      </c>
      <c r="D144" s="21" t="n">
        <v>0.4</v>
      </c>
      <c r="E144" s="21" t="n">
        <v>0.1</v>
      </c>
      <c r="F144" s="22" t="n">
        <v>1</v>
      </c>
      <c r="G144" s="22" t="n">
        <v>35</v>
      </c>
      <c r="H144" s="22" t="n">
        <v>0</v>
      </c>
      <c r="I144" s="22"/>
      <c r="J144" s="22"/>
      <c r="K144" s="22" t="n">
        <v>0</v>
      </c>
      <c r="L144" s="22" t="n">
        <v>10</v>
      </c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3" t="s">
        <v>406</v>
      </c>
      <c r="AD144" s="23" t="s">
        <v>414</v>
      </c>
      <c r="AE144" s="23" t="s">
        <v>224</v>
      </c>
      <c r="AF144" s="23" t="s">
        <v>84</v>
      </c>
      <c r="AG144" s="23"/>
      <c r="AH144" s="23" t="n">
        <v>10</v>
      </c>
      <c r="AI144" s="23" t="s">
        <v>412</v>
      </c>
      <c r="AJ144" s="13" t="n">
        <v>0</v>
      </c>
      <c r="AK144" s="13" t="n">
        <v>0</v>
      </c>
      <c r="AL144" s="13" t="n">
        <v>0</v>
      </c>
      <c r="AM144" s="13" t="n">
        <v>0</v>
      </c>
      <c r="AN144" s="13" t="n">
        <v>0</v>
      </c>
      <c r="AO144" s="13" t="n">
        <v>0</v>
      </c>
      <c r="AP144" s="13" t="n">
        <v>0</v>
      </c>
      <c r="AQ144" s="13" t="n">
        <v>0</v>
      </c>
      <c r="AR144" s="13" t="n">
        <v>0</v>
      </c>
      <c r="AS144" s="13" t="n">
        <v>0</v>
      </c>
      <c r="AT144" s="13" t="n">
        <v>0</v>
      </c>
      <c r="AU144" s="13" t="n">
        <v>0</v>
      </c>
      <c r="AV144" s="13" t="n">
        <v>0</v>
      </c>
      <c r="AW144" s="13" t="n">
        <v>0</v>
      </c>
      <c r="AX144" s="13" t="n">
        <v>0</v>
      </c>
      <c r="AY144" s="13" t="n">
        <v>0</v>
      </c>
      <c r="AZ144" s="13" t="n">
        <v>0</v>
      </c>
      <c r="BA144" s="23" t="str">
        <f aca="false">_xlfn.TEXTJOIN(", ",TRUE(),IF(AJ144=1,"glutine",IF(AJ144=2,"glutine (tracce)","")),IF(AK144=1,"latte",IF(AK144=2,"latte (tracce)","")),IF(AL144=1,"lattosio",IF(AL144=2,"lattosio (tracce)","")),IF(AM144=1,"uova",IF(AM144=2,"uova (tracce)","")),IF(AN144=1,"pesce",IF(AN144=2,"pesce (tracce)","")),IF(AO144=1,"crostacei",IF(AO144=2,"crostacei (tracce)","")),IF(AP144=1,"molluschi",IF(AP144=2,"molluschi (tracce)","")),IF(AQ144=1,"frutta a guscio",IF(AQ144=2,"frutta a guscio (tracce)","")),IF(AR144=1,"arachidi",IF(AR144=2,"arachidi (tracce)","")),IF(AS144=1,"soia",IF(AS144=2,"soia (tracce)","")),IF(AT144=1,"sesamo",IF(AT144=2,"sesamo (tracce)","")),IF(AU144=1,"sedano",IF(AU144=2,"sedano (tracce)","")),IF(AV144=1,"senape",IF(AV144=2,"senape (tracce)","")),IF(AW144=1,"solfiti",IF(AW144=2,"solfiti (tracce)","")),IF(AX144=1,"lupini",IF(AX144=2,"lupini (tracce)","")),IF(AY144=1,"nichel",IF(AY144=2,"nichel (tracce)","")),IF(AZ144=1,"FODMAP",IF(AZ144=2,"FODMAP (tracce)","")))</f>
        <v/>
      </c>
      <c r="BB144" s="23" t="n">
        <f aca="false">ROUND(4*C144+4*D144+9*E144+2*N(F144),0)</f>
        <v>149</v>
      </c>
      <c r="BC144" s="23" t="s">
        <v>78</v>
      </c>
      <c r="BD144" s="23" t="s">
        <v>415</v>
      </c>
    </row>
    <row r="145" customFormat="false" ht="15" hidden="false" customHeight="false" outlineLevel="0" collapsed="false">
      <c r="A145" s="19" t="s">
        <v>416</v>
      </c>
      <c r="B145" s="20" t="n">
        <v>387</v>
      </c>
      <c r="C145" s="21" t="n">
        <v>100</v>
      </c>
      <c r="D145" s="21" t="n">
        <v>0</v>
      </c>
      <c r="E145" s="21" t="n">
        <v>0</v>
      </c>
      <c r="F145" s="22" t="n">
        <v>0</v>
      </c>
      <c r="G145" s="22" t="n">
        <v>99.8</v>
      </c>
      <c r="H145" s="22" t="n">
        <v>0</v>
      </c>
      <c r="I145" s="22" t="n">
        <v>0</v>
      </c>
      <c r="J145" s="22" t="n">
        <v>0</v>
      </c>
      <c r="K145" s="22" t="n">
        <v>0</v>
      </c>
      <c r="L145" s="22" t="n">
        <v>1</v>
      </c>
      <c r="M145" s="22" t="n">
        <v>2</v>
      </c>
      <c r="N145" s="22" t="n">
        <v>1</v>
      </c>
      <c r="O145" s="22" t="n">
        <v>0</v>
      </c>
      <c r="P145" s="22" t="n">
        <v>0</v>
      </c>
      <c r="Q145" s="22" t="n">
        <v>0.05</v>
      </c>
      <c r="R145" s="22" t="n">
        <v>0.01</v>
      </c>
      <c r="S145" s="22" t="n">
        <v>0</v>
      </c>
      <c r="T145" s="22" t="n">
        <v>0</v>
      </c>
      <c r="U145" s="22" t="n">
        <v>0</v>
      </c>
      <c r="V145" s="22" t="n">
        <v>0</v>
      </c>
      <c r="W145" s="22" t="n">
        <v>0</v>
      </c>
      <c r="X145" s="22" t="n">
        <v>0.02</v>
      </c>
      <c r="Y145" s="22" t="n">
        <v>0</v>
      </c>
      <c r="Z145" s="22" t="n">
        <v>0</v>
      </c>
      <c r="AA145" s="22" t="n">
        <v>0</v>
      </c>
      <c r="AB145" s="22" t="n">
        <v>0</v>
      </c>
      <c r="AC145" s="23" t="s">
        <v>406</v>
      </c>
      <c r="AD145" s="23" t="s">
        <v>417</v>
      </c>
      <c r="AE145" s="23" t="s">
        <v>224</v>
      </c>
      <c r="AF145" s="23" t="s">
        <v>215</v>
      </c>
      <c r="AG145" s="23"/>
      <c r="AH145" s="23" t="n">
        <v>5</v>
      </c>
      <c r="AI145" s="23" t="s">
        <v>412</v>
      </c>
      <c r="AJ145" s="13" t="n">
        <v>0</v>
      </c>
      <c r="AK145" s="13" t="n">
        <v>0</v>
      </c>
      <c r="AL145" s="13" t="n">
        <v>0</v>
      </c>
      <c r="AM145" s="13" t="n">
        <v>0</v>
      </c>
      <c r="AN145" s="13" t="n">
        <v>0</v>
      </c>
      <c r="AO145" s="13" t="n">
        <v>0</v>
      </c>
      <c r="AP145" s="13" t="n">
        <v>0</v>
      </c>
      <c r="AQ145" s="13" t="n">
        <v>0</v>
      </c>
      <c r="AR145" s="13" t="n">
        <v>0</v>
      </c>
      <c r="AS145" s="13" t="n">
        <v>0</v>
      </c>
      <c r="AT145" s="13" t="n">
        <v>0</v>
      </c>
      <c r="AU145" s="13" t="n">
        <v>0</v>
      </c>
      <c r="AV145" s="13" t="n">
        <v>0</v>
      </c>
      <c r="AW145" s="13" t="n">
        <v>0</v>
      </c>
      <c r="AX145" s="13" t="n">
        <v>0</v>
      </c>
      <c r="AY145" s="13" t="n">
        <v>0</v>
      </c>
      <c r="AZ145" s="13" t="n">
        <v>0</v>
      </c>
      <c r="BA145" s="23" t="str">
        <f aca="false">_xlfn.TEXTJOIN(", ",TRUE(),IF(AJ145=1,"glutine",IF(AJ145=2,"glutine (tracce)","")),IF(AK145=1,"latte",IF(AK145=2,"latte (tracce)","")),IF(AL145=1,"lattosio",IF(AL145=2,"lattosio (tracce)","")),IF(AM145=1,"uova",IF(AM145=2,"uova (tracce)","")),IF(AN145=1,"pesce",IF(AN145=2,"pesce (tracce)","")),IF(AO145=1,"crostacei",IF(AO145=2,"crostacei (tracce)","")),IF(AP145=1,"molluschi",IF(AP145=2,"molluschi (tracce)","")),IF(AQ145=1,"frutta a guscio",IF(AQ145=2,"frutta a guscio (tracce)","")),IF(AR145=1,"arachidi",IF(AR145=2,"arachidi (tracce)","")),IF(AS145=1,"soia",IF(AS145=2,"soia (tracce)","")),IF(AT145=1,"sesamo",IF(AT145=2,"sesamo (tracce)","")),IF(AU145=1,"sedano",IF(AU145=2,"sedano (tracce)","")),IF(AV145=1,"senape",IF(AV145=2,"senape (tracce)","")),IF(AW145=1,"solfiti",IF(AW145=2,"solfiti (tracce)","")),IF(AX145=1,"lupini",IF(AX145=2,"lupini (tracce)","")),IF(AY145=1,"nichel",IF(AY145=2,"nichel (tracce)","")),IF(AZ145=1,"FODMAP",IF(AZ145=2,"FODMAP (tracce)","")))</f>
        <v/>
      </c>
      <c r="BB145" s="23" t="n">
        <f aca="false">ROUND(4*C145+4*D145+9*E145+2*N(F145),0)</f>
        <v>400</v>
      </c>
      <c r="BC145" s="23" t="s">
        <v>70</v>
      </c>
      <c r="BD145" s="23"/>
    </row>
    <row r="146" customFormat="false" ht="15" hidden="false" customHeight="false" outlineLevel="0" collapsed="false">
      <c r="A146" s="2" t="s">
        <v>418</v>
      </c>
      <c r="B146" s="3" t="n">
        <v>390</v>
      </c>
      <c r="C146" s="4" t="n">
        <v>6</v>
      </c>
      <c r="D146" s="4" t="n">
        <v>76</v>
      </c>
      <c r="E146" s="4" t="n">
        <v>6.5</v>
      </c>
      <c r="F146" s="5" t="n">
        <v>0</v>
      </c>
      <c r="G146" s="5" t="n">
        <v>4</v>
      </c>
      <c r="H146" s="5" t="n">
        <v>4</v>
      </c>
      <c r="I146" s="5"/>
      <c r="J146" s="5"/>
      <c r="K146" s="5" t="n">
        <v>150</v>
      </c>
      <c r="L146" s="5" t="n">
        <v>150</v>
      </c>
      <c r="M146" s="5" t="n">
        <v>450</v>
      </c>
      <c r="N146" s="5" t="n">
        <v>400</v>
      </c>
      <c r="O146" s="5" t="n">
        <v>300</v>
      </c>
      <c r="P146" s="5" t="n">
        <v>60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6" t="s">
        <v>419</v>
      </c>
      <c r="AD146" s="6" t="s">
        <v>420</v>
      </c>
      <c r="AE146" s="6" t="s">
        <v>66</v>
      </c>
      <c r="AF146" s="6" t="s">
        <v>421</v>
      </c>
      <c r="AG146" s="6"/>
      <c r="AH146" s="6" t="n">
        <v>30</v>
      </c>
      <c r="AI146" s="6" t="s">
        <v>422</v>
      </c>
      <c r="AJ146" s="7" t="n">
        <v>0</v>
      </c>
      <c r="AK146" s="7" t="n">
        <v>1</v>
      </c>
      <c r="AL146" s="7" t="n">
        <v>1</v>
      </c>
      <c r="AM146" s="7" t="n">
        <v>0</v>
      </c>
      <c r="AN146" s="7" t="n">
        <v>0</v>
      </c>
      <c r="AO146" s="7" t="n">
        <v>0</v>
      </c>
      <c r="AP146" s="7" t="n">
        <v>0</v>
      </c>
      <c r="AQ146" s="7" t="n">
        <v>0</v>
      </c>
      <c r="AR146" s="7" t="n">
        <v>0</v>
      </c>
      <c r="AS146" s="7" t="n">
        <v>2</v>
      </c>
      <c r="AT146" s="7" t="n">
        <v>0</v>
      </c>
      <c r="AU146" s="7" t="n">
        <v>0</v>
      </c>
      <c r="AV146" s="7" t="n">
        <v>0</v>
      </c>
      <c r="AW146" s="7" t="n">
        <v>0</v>
      </c>
      <c r="AX146" s="7" t="n">
        <v>0</v>
      </c>
      <c r="AY146" s="7" t="n">
        <v>0</v>
      </c>
      <c r="AZ146" s="7" t="n">
        <v>0</v>
      </c>
      <c r="BA146" s="6" t="str">
        <f aca="false">_xlfn.TEXTJOIN(", ",TRUE(),IF(AJ146=1,"glutine",IF(AJ146=2,"glutine (tracce)","")),IF(AK146=1,"latte",IF(AK146=2,"latte (tracce)","")),IF(AL146=1,"lattosio",IF(AL146=2,"lattosio (tracce)","")),IF(AM146=1,"uova",IF(AM146=2,"uova (tracce)","")),IF(AN146=1,"pesce",IF(AN146=2,"pesce (tracce)","")),IF(AO146=1,"crostacei",IF(AO146=2,"crostacei (tracce)","")),IF(AP146=1,"molluschi",IF(AP146=2,"molluschi (tracce)","")),IF(AQ146=1,"frutta a guscio",IF(AQ146=2,"frutta a guscio (tracce)","")),IF(AR146=1,"arachidi",IF(AR146=2,"arachidi (tracce)","")),IF(AS146=1,"soia",IF(AS146=2,"soia (tracce)","")),IF(AT146=1,"sesamo",IF(AT146=2,"sesamo (tracce)","")),IF(AU146=1,"sedano",IF(AU146=2,"sedano (tracce)","")),IF(AV146=1,"senape",IF(AV146=2,"senape (tracce)","")),IF(AW146=1,"solfiti",IF(AW146=2,"solfiti (tracce)","")),IF(AX146=1,"lupini",IF(AX146=2,"lupini (tracce)","")),IF(AY146=1,"nichel",IF(AY146=2,"nichel (tracce)","")),IF(AZ146=1,"FODMAP",IF(AZ146=2,"FODMAP (tracce)","")))</f>
        <v>latte, lattosio, soia (tracce)</v>
      </c>
      <c r="BB146" s="6" t="n">
        <f aca="false">ROUND(4*C146+4*D146+9*E146+2*N(F146),0)</f>
        <v>387</v>
      </c>
      <c r="BC146" s="6" t="s">
        <v>78</v>
      </c>
      <c r="BD146" s="6"/>
    </row>
    <row r="147" customFormat="false" ht="15" hidden="false" customHeight="false" outlineLevel="0" collapsed="false">
      <c r="A147" s="8" t="s">
        <v>423</v>
      </c>
      <c r="B147" s="9" t="n">
        <v>370</v>
      </c>
      <c r="C147" s="10" t="n">
        <v>2</v>
      </c>
      <c r="D147" s="10" t="n">
        <v>88</v>
      </c>
      <c r="E147" s="10" t="n">
        <v>1</v>
      </c>
      <c r="F147" s="11" t="n">
        <v>0</v>
      </c>
      <c r="G147" s="11" t="n">
        <v>1</v>
      </c>
      <c r="H147" s="11" t="n">
        <v>0.5</v>
      </c>
      <c r="I147" s="11"/>
      <c r="J147" s="11"/>
      <c r="K147" s="11" t="n">
        <v>10</v>
      </c>
      <c r="L147" s="11" t="n">
        <v>150</v>
      </c>
      <c r="M147" s="11" t="n">
        <v>450</v>
      </c>
      <c r="N147" s="11" t="n">
        <v>400</v>
      </c>
      <c r="O147" s="11" t="n">
        <v>250</v>
      </c>
      <c r="P147" s="11" t="n">
        <v>60</v>
      </c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2" t="s">
        <v>419</v>
      </c>
      <c r="AD147" s="12" t="s">
        <v>424</v>
      </c>
      <c r="AE147" s="12" t="s">
        <v>66</v>
      </c>
      <c r="AF147" s="12" t="s">
        <v>421</v>
      </c>
      <c r="AG147" s="12"/>
      <c r="AH147" s="12" t="n">
        <v>30</v>
      </c>
      <c r="AI147" s="12" t="s">
        <v>422</v>
      </c>
      <c r="AJ147" s="13" t="n">
        <v>0</v>
      </c>
      <c r="AK147" s="13" t="n">
        <v>1</v>
      </c>
      <c r="AL147" s="13" t="n">
        <v>0</v>
      </c>
      <c r="AM147" s="13" t="n">
        <v>0</v>
      </c>
      <c r="AN147" s="13" t="n">
        <v>0</v>
      </c>
      <c r="AO147" s="13" t="n">
        <v>0</v>
      </c>
      <c r="AP147" s="13" t="n">
        <v>0</v>
      </c>
      <c r="AQ147" s="13" t="n">
        <v>0</v>
      </c>
      <c r="AR147" s="13" t="n">
        <v>0</v>
      </c>
      <c r="AS147" s="13" t="n">
        <v>2</v>
      </c>
      <c r="AT147" s="13" t="n">
        <v>0</v>
      </c>
      <c r="AU147" s="13" t="n">
        <v>0</v>
      </c>
      <c r="AV147" s="13" t="n">
        <v>0</v>
      </c>
      <c r="AW147" s="13" t="n">
        <v>0</v>
      </c>
      <c r="AX147" s="13" t="n">
        <v>0</v>
      </c>
      <c r="AY147" s="13" t="n">
        <v>0</v>
      </c>
      <c r="AZ147" s="13" t="n">
        <v>0</v>
      </c>
      <c r="BA147" s="12" t="str">
        <f aca="false">_xlfn.TEXTJOIN(", ",TRUE(),IF(AJ147=1,"glutine",IF(AJ147=2,"glutine (tracce)","")),IF(AK147=1,"latte",IF(AK147=2,"latte (tracce)","")),IF(AL147=1,"lattosio",IF(AL147=2,"lattosio (tracce)","")),IF(AM147=1,"uova",IF(AM147=2,"uova (tracce)","")),IF(AN147=1,"pesce",IF(AN147=2,"pesce (tracce)","")),IF(AO147=1,"crostacei",IF(AO147=2,"crostacei (tracce)","")),IF(AP147=1,"molluschi",IF(AP147=2,"molluschi (tracce)","")),IF(AQ147=1,"frutta a guscio",IF(AQ147=2,"frutta a guscio (tracce)","")),IF(AR147=1,"arachidi",IF(AR147=2,"arachidi (tracce)","")),IF(AS147=1,"soia",IF(AS147=2,"soia (tracce)","")),IF(AT147=1,"sesamo",IF(AT147=2,"sesamo (tracce)","")),IF(AU147=1,"sedano",IF(AU147=2,"sedano (tracce)","")),IF(AV147=1,"senape",IF(AV147=2,"senape (tracce)","")),IF(AW147=1,"solfiti",IF(AW147=2,"solfiti (tracce)","")),IF(AX147=1,"lupini",IF(AX147=2,"lupini (tracce)","")),IF(AY147=1,"nichel",IF(AY147=2,"nichel (tracce)","")),IF(AZ147=1,"FODMAP",IF(AZ147=2,"FODMAP (tracce)","")))</f>
        <v>latte, soia (tracce)</v>
      </c>
      <c r="BB147" s="12" t="n">
        <f aca="false">ROUND(4*C147+4*D147+9*E147+2*N(F147),0)</f>
        <v>369</v>
      </c>
      <c r="BC147" s="12" t="s">
        <v>78</v>
      </c>
      <c r="BD147" s="12" t="s">
        <v>425</v>
      </c>
    </row>
    <row r="148" customFormat="false" ht="15" hidden="false" customHeight="false" outlineLevel="0" collapsed="false">
      <c r="A148" s="8" t="s">
        <v>426</v>
      </c>
      <c r="B148" s="9" t="n">
        <v>360</v>
      </c>
      <c r="C148" s="10" t="n">
        <v>30</v>
      </c>
      <c r="D148" s="10" t="n">
        <v>33</v>
      </c>
      <c r="E148" s="10" t="n">
        <v>10</v>
      </c>
      <c r="F148" s="11" t="n">
        <v>10</v>
      </c>
      <c r="G148" s="11" t="n">
        <v>3</v>
      </c>
      <c r="H148" s="11" t="n">
        <v>5</v>
      </c>
      <c r="I148" s="11"/>
      <c r="J148" s="11"/>
      <c r="K148" s="11"/>
      <c r="L148" s="11" t="n">
        <v>200</v>
      </c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2" t="s">
        <v>419</v>
      </c>
      <c r="AD148" s="12" t="s">
        <v>427</v>
      </c>
      <c r="AE148" s="12" t="s">
        <v>66</v>
      </c>
      <c r="AF148" s="12" t="s">
        <v>84</v>
      </c>
      <c r="AG148" s="12"/>
      <c r="AH148" s="12" t="n">
        <v>60</v>
      </c>
      <c r="AI148" s="12" t="s">
        <v>428</v>
      </c>
      <c r="AJ148" s="13" t="n">
        <v>0</v>
      </c>
      <c r="AK148" s="13" t="n">
        <v>1</v>
      </c>
      <c r="AL148" s="13" t="n">
        <v>0</v>
      </c>
      <c r="AM148" s="13" t="n">
        <v>0</v>
      </c>
      <c r="AN148" s="13" t="n">
        <v>0</v>
      </c>
      <c r="AO148" s="13" t="n">
        <v>0</v>
      </c>
      <c r="AP148" s="13" t="n">
        <v>0</v>
      </c>
      <c r="AQ148" s="13" t="n">
        <v>2</v>
      </c>
      <c r="AR148" s="13" t="n">
        <v>0</v>
      </c>
      <c r="AS148" s="13" t="n">
        <v>1</v>
      </c>
      <c r="AT148" s="13" t="n">
        <v>0</v>
      </c>
      <c r="AU148" s="13" t="n">
        <v>0</v>
      </c>
      <c r="AV148" s="13" t="n">
        <v>0</v>
      </c>
      <c r="AW148" s="13" t="n">
        <v>0</v>
      </c>
      <c r="AX148" s="13" t="n">
        <v>0</v>
      </c>
      <c r="AY148" s="13" t="n">
        <v>0</v>
      </c>
      <c r="AZ148" s="13" t="n">
        <v>1</v>
      </c>
      <c r="BA148" s="12" t="str">
        <f aca="false">_xlfn.TEXTJOIN(", ",TRUE(),IF(AJ148=1,"glutine",IF(AJ148=2,"glutine (tracce)","")),IF(AK148=1,"latte",IF(AK148=2,"latte (tracce)","")),IF(AL148=1,"lattosio",IF(AL148=2,"lattosio (tracce)","")),IF(AM148=1,"uova",IF(AM148=2,"uova (tracce)","")),IF(AN148=1,"pesce",IF(AN148=2,"pesce (tracce)","")),IF(AO148=1,"crostacei",IF(AO148=2,"crostacei (tracce)","")),IF(AP148=1,"molluschi",IF(AP148=2,"molluschi (tracce)","")),IF(AQ148=1,"frutta a guscio",IF(AQ148=2,"frutta a guscio (tracce)","")),IF(AR148=1,"arachidi",IF(AR148=2,"arachidi (tracce)","")),IF(AS148=1,"soia",IF(AS148=2,"soia (tracce)","")),IF(AT148=1,"sesamo",IF(AT148=2,"sesamo (tracce)","")),IF(AU148=1,"sedano",IF(AU148=2,"sedano (tracce)","")),IF(AV148=1,"senape",IF(AV148=2,"senape (tracce)","")),IF(AW148=1,"solfiti",IF(AW148=2,"solfiti (tracce)","")),IF(AX148=1,"lupini",IF(AX148=2,"lupini (tracce)","")),IF(AY148=1,"nichel",IF(AY148=2,"nichel (tracce)","")),IF(AZ148=1,"FODMAP",IF(AZ148=2,"FODMAP (tracce)","")))</f>
        <v>latte, frutta a guscio (tracce), soia, FODMAP</v>
      </c>
      <c r="BB148" s="12" t="n">
        <f aca="false">ROUND(4*C148+4*D148+9*E148+2*N(F148),0)</f>
        <v>362</v>
      </c>
      <c r="BC148" s="12" t="s">
        <v>78</v>
      </c>
      <c r="BD148" s="12" t="s">
        <v>429</v>
      </c>
    </row>
    <row r="149" customFormat="false" ht="15" hidden="false" customHeight="false" outlineLevel="0" collapsed="false">
      <c r="A149" s="14" t="s">
        <v>430</v>
      </c>
      <c r="B149" s="15" t="n">
        <v>17</v>
      </c>
      <c r="C149" s="16" t="n">
        <v>2.1</v>
      </c>
      <c r="D149" s="16" t="n">
        <v>1.2</v>
      </c>
      <c r="E149" s="16" t="n">
        <v>0.3</v>
      </c>
      <c r="F149" s="17" t="n">
        <v>1</v>
      </c>
      <c r="G149" s="17" t="n">
        <v>2.5</v>
      </c>
      <c r="H149" s="17" t="n">
        <v>0.08</v>
      </c>
      <c r="I149" s="17" t="n">
        <v>0.01</v>
      </c>
      <c r="J149" s="17" t="n">
        <v>0.13</v>
      </c>
      <c r="K149" s="17" t="n">
        <v>0</v>
      </c>
      <c r="L149" s="17" t="n">
        <v>8</v>
      </c>
      <c r="M149" s="17" t="n">
        <v>261</v>
      </c>
      <c r="N149" s="17" t="n">
        <v>16</v>
      </c>
      <c r="O149" s="17" t="n">
        <v>38</v>
      </c>
      <c r="P149" s="17" t="n">
        <v>18</v>
      </c>
      <c r="Q149" s="17" t="n">
        <v>0.37</v>
      </c>
      <c r="R149" s="17" t="n">
        <v>0.32</v>
      </c>
      <c r="S149" s="17" t="n">
        <v>10</v>
      </c>
      <c r="T149" s="17" t="n">
        <v>17.9</v>
      </c>
      <c r="U149" s="17" t="n">
        <v>0</v>
      </c>
      <c r="V149" s="17" t="n">
        <v>0.12</v>
      </c>
      <c r="W149" s="17" t="n">
        <v>0.05</v>
      </c>
      <c r="X149" s="17" t="n">
        <v>0.09</v>
      </c>
      <c r="Y149" s="17" t="n">
        <v>0.45</v>
      </c>
      <c r="Z149" s="17" t="n">
        <v>0.16</v>
      </c>
      <c r="AA149" s="17" t="n">
        <v>24</v>
      </c>
      <c r="AB149" s="17" t="n">
        <v>0</v>
      </c>
      <c r="AC149" s="18" t="s">
        <v>431</v>
      </c>
      <c r="AD149" s="18" t="s">
        <v>432</v>
      </c>
      <c r="AE149" s="18" t="s">
        <v>397</v>
      </c>
      <c r="AF149" s="18" t="s">
        <v>69</v>
      </c>
      <c r="AG149" s="18"/>
      <c r="AH149" s="18"/>
      <c r="AI149" s="18"/>
      <c r="AJ149" s="7" t="n">
        <v>0</v>
      </c>
      <c r="AK149" s="7" t="n">
        <v>0</v>
      </c>
      <c r="AL149" s="7" t="n">
        <v>0</v>
      </c>
      <c r="AM149" s="7" t="n">
        <v>0</v>
      </c>
      <c r="AN149" s="7" t="n">
        <v>0</v>
      </c>
      <c r="AO149" s="7" t="n">
        <v>0</v>
      </c>
      <c r="AP149" s="7" t="n">
        <v>0</v>
      </c>
      <c r="AQ149" s="7" t="n">
        <v>0</v>
      </c>
      <c r="AR149" s="7" t="n">
        <v>0</v>
      </c>
      <c r="AS149" s="7" t="n">
        <v>0</v>
      </c>
      <c r="AT149" s="7" t="n">
        <v>0</v>
      </c>
      <c r="AU149" s="7" t="n">
        <v>0</v>
      </c>
      <c r="AV149" s="7" t="n">
        <v>0</v>
      </c>
      <c r="AW149" s="7" t="n">
        <v>0</v>
      </c>
      <c r="AX149" s="7" t="n">
        <v>0</v>
      </c>
      <c r="AY149" s="7" t="n">
        <v>0</v>
      </c>
      <c r="AZ149" s="7" t="n">
        <v>0</v>
      </c>
      <c r="BA149" s="18" t="str">
        <f aca="false">_xlfn.TEXTJOIN(", ",TRUE(),IF(AJ149=1,"glutine",IF(AJ149=2,"glutine (tracce)","")),IF(AK149=1,"latte",IF(AK149=2,"latte (tracce)","")),IF(AL149=1,"lattosio",IF(AL149=2,"lattosio (tracce)","")),IF(AM149=1,"uova",IF(AM149=2,"uova (tracce)","")),IF(AN149=1,"pesce",IF(AN149=2,"pesce (tracce)","")),IF(AO149=1,"crostacei",IF(AO149=2,"crostacei (tracce)","")),IF(AP149=1,"molluschi",IF(AP149=2,"molluschi (tracce)","")),IF(AQ149=1,"frutta a guscio",IF(AQ149=2,"frutta a guscio (tracce)","")),IF(AR149=1,"arachidi",IF(AR149=2,"arachidi (tracce)","")),IF(AS149=1,"soia",IF(AS149=2,"soia (tracce)","")),IF(AT149=1,"sesamo",IF(AT149=2,"sesamo (tracce)","")),IF(AU149=1,"sedano",IF(AU149=2,"sedano (tracce)","")),IF(AV149=1,"senape",IF(AV149=2,"senape (tracce)","")),IF(AW149=1,"solfiti",IF(AW149=2,"solfiti (tracce)","")),IF(AX149=1,"lupini",IF(AX149=2,"lupini (tracce)","")),IF(AY149=1,"nichel",IF(AY149=2,"nichel (tracce)","")),IF(AZ149=1,"FODMAP",IF(AZ149=2,"FODMAP (tracce)","")))</f>
        <v/>
      </c>
      <c r="BB149" s="18" t="n">
        <f aca="false">ROUND(4*C149+4*D149+9*E149+2*N(F149),0)</f>
        <v>18</v>
      </c>
      <c r="BC149" s="18" t="s">
        <v>70</v>
      </c>
      <c r="BD149" s="18"/>
    </row>
    <row r="150" customFormat="false" ht="15" hidden="false" customHeight="false" outlineLevel="0" collapsed="false">
      <c r="A150" s="19" t="s">
        <v>433</v>
      </c>
      <c r="B150" s="20" t="n">
        <v>41</v>
      </c>
      <c r="C150" s="21" t="n">
        <v>6.8</v>
      </c>
      <c r="D150" s="21" t="n">
        <v>0.9</v>
      </c>
      <c r="E150" s="21" t="n">
        <v>0.2</v>
      </c>
      <c r="F150" s="22" t="n">
        <v>2.8</v>
      </c>
      <c r="G150" s="22" t="n">
        <v>4.7</v>
      </c>
      <c r="H150" s="22" t="n">
        <v>0.04</v>
      </c>
      <c r="I150" s="22" t="n">
        <v>0.01</v>
      </c>
      <c r="J150" s="22" t="n">
        <v>0.12</v>
      </c>
      <c r="K150" s="22" t="n">
        <v>0</v>
      </c>
      <c r="L150" s="22" t="n">
        <v>69</v>
      </c>
      <c r="M150" s="22" t="n">
        <v>320</v>
      </c>
      <c r="N150" s="22" t="n">
        <v>33</v>
      </c>
      <c r="O150" s="22" t="n">
        <v>35</v>
      </c>
      <c r="P150" s="22" t="n">
        <v>12</v>
      </c>
      <c r="Q150" s="22" t="n">
        <v>0.3</v>
      </c>
      <c r="R150" s="22" t="n">
        <v>0.24</v>
      </c>
      <c r="S150" s="22" t="n">
        <v>835</v>
      </c>
      <c r="T150" s="22" t="n">
        <v>5.9</v>
      </c>
      <c r="U150" s="22" t="n">
        <v>0</v>
      </c>
      <c r="V150" s="22" t="n">
        <v>0.66</v>
      </c>
      <c r="W150" s="22" t="n">
        <v>0.07</v>
      </c>
      <c r="X150" s="22" t="n">
        <v>0.06</v>
      </c>
      <c r="Y150" s="22" t="n">
        <v>0.98</v>
      </c>
      <c r="Z150" s="22" t="n">
        <v>0.14</v>
      </c>
      <c r="AA150" s="22" t="n">
        <v>19</v>
      </c>
      <c r="AB150" s="22" t="n">
        <v>0</v>
      </c>
      <c r="AC150" s="23" t="s">
        <v>431</v>
      </c>
      <c r="AD150" s="23" t="s">
        <v>434</v>
      </c>
      <c r="AE150" s="23" t="s">
        <v>397</v>
      </c>
      <c r="AF150" s="23" t="s">
        <v>69</v>
      </c>
      <c r="AG150" s="23"/>
      <c r="AH150" s="23"/>
      <c r="AI150" s="23"/>
      <c r="AJ150" s="13" t="n">
        <v>0</v>
      </c>
      <c r="AK150" s="13" t="n">
        <v>0</v>
      </c>
      <c r="AL150" s="13" t="n">
        <v>0</v>
      </c>
      <c r="AM150" s="13" t="n">
        <v>0</v>
      </c>
      <c r="AN150" s="13" t="n">
        <v>0</v>
      </c>
      <c r="AO150" s="13" t="n">
        <v>0</v>
      </c>
      <c r="AP150" s="13" t="n">
        <v>0</v>
      </c>
      <c r="AQ150" s="13" t="n">
        <v>0</v>
      </c>
      <c r="AR150" s="13" t="n">
        <v>0</v>
      </c>
      <c r="AS150" s="13" t="n">
        <v>0</v>
      </c>
      <c r="AT150" s="13" t="n">
        <v>0</v>
      </c>
      <c r="AU150" s="13" t="n">
        <v>0</v>
      </c>
      <c r="AV150" s="13" t="n">
        <v>0</v>
      </c>
      <c r="AW150" s="13" t="n">
        <v>0</v>
      </c>
      <c r="AX150" s="13" t="n">
        <v>0</v>
      </c>
      <c r="AY150" s="13" t="n">
        <v>0</v>
      </c>
      <c r="AZ150" s="13" t="n">
        <v>0</v>
      </c>
      <c r="BA150" s="23" t="str">
        <f aca="false">_xlfn.TEXTJOIN(", ",TRUE(),IF(AJ150=1,"glutine",IF(AJ150=2,"glutine (tracce)","")),IF(AK150=1,"latte",IF(AK150=2,"latte (tracce)","")),IF(AL150=1,"lattosio",IF(AL150=2,"lattosio (tracce)","")),IF(AM150=1,"uova",IF(AM150=2,"uova (tracce)","")),IF(AN150=1,"pesce",IF(AN150=2,"pesce (tracce)","")),IF(AO150=1,"crostacei",IF(AO150=2,"crostacei (tracce)","")),IF(AP150=1,"molluschi",IF(AP150=2,"molluschi (tracce)","")),IF(AQ150=1,"frutta a guscio",IF(AQ150=2,"frutta a guscio (tracce)","")),IF(AR150=1,"arachidi",IF(AR150=2,"arachidi (tracce)","")),IF(AS150=1,"soia",IF(AS150=2,"soia (tracce)","")),IF(AT150=1,"sesamo",IF(AT150=2,"sesamo (tracce)","")),IF(AU150=1,"sedano",IF(AU150=2,"sedano (tracce)","")),IF(AV150=1,"senape",IF(AV150=2,"senape (tracce)","")),IF(AW150=1,"solfiti",IF(AW150=2,"solfiti (tracce)","")),IF(AX150=1,"lupini",IF(AX150=2,"lupini (tracce)","")),IF(AY150=1,"nichel",IF(AY150=2,"nichel (tracce)","")),IF(AZ150=1,"FODMAP",IF(AZ150=2,"FODMAP (tracce)","")))</f>
        <v/>
      </c>
      <c r="BB150" s="23" t="n">
        <f aca="false">ROUND(4*C150+4*D150+9*E150+2*N(F150),0)</f>
        <v>38</v>
      </c>
      <c r="BC150" s="23" t="s">
        <v>70</v>
      </c>
      <c r="BD150" s="23"/>
    </row>
    <row r="151" customFormat="false" ht="15" hidden="false" customHeight="false" outlineLevel="0" collapsed="false">
      <c r="A151" s="19" t="s">
        <v>435</v>
      </c>
      <c r="B151" s="20" t="n">
        <v>23</v>
      </c>
      <c r="C151" s="21" t="n">
        <v>1.4</v>
      </c>
      <c r="D151" s="21" t="n">
        <v>2.9</v>
      </c>
      <c r="E151" s="21" t="n">
        <v>0.4</v>
      </c>
      <c r="F151" s="22" t="n">
        <v>2.2</v>
      </c>
      <c r="G151" s="22" t="n">
        <v>0.4</v>
      </c>
      <c r="H151" s="22" t="n">
        <v>0.06</v>
      </c>
      <c r="I151" s="22" t="n">
        <v>0.01</v>
      </c>
      <c r="J151" s="22" t="n">
        <v>0.17</v>
      </c>
      <c r="K151" s="22" t="n">
        <v>0</v>
      </c>
      <c r="L151" s="22" t="n">
        <v>79</v>
      </c>
      <c r="M151" s="22" t="n">
        <v>558</v>
      </c>
      <c r="N151" s="22" t="n">
        <v>99</v>
      </c>
      <c r="O151" s="22" t="n">
        <v>49</v>
      </c>
      <c r="P151" s="22" t="n">
        <v>79</v>
      </c>
      <c r="Q151" s="22" t="n">
        <v>2.71</v>
      </c>
      <c r="R151" s="22" t="n">
        <v>0.53</v>
      </c>
      <c r="S151" s="22" t="n">
        <v>469</v>
      </c>
      <c r="T151" s="22" t="n">
        <v>28.1</v>
      </c>
      <c r="U151" s="22" t="n">
        <v>0</v>
      </c>
      <c r="V151" s="22" t="n">
        <v>2.03</v>
      </c>
      <c r="W151" s="22" t="n">
        <v>0.08</v>
      </c>
      <c r="X151" s="22" t="n">
        <v>0.19</v>
      </c>
      <c r="Y151" s="22" t="n">
        <v>0.72</v>
      </c>
      <c r="Z151" s="22" t="n">
        <v>0.2</v>
      </c>
      <c r="AA151" s="22" t="n">
        <v>194</v>
      </c>
      <c r="AB151" s="22" t="n">
        <v>0</v>
      </c>
      <c r="AC151" s="23" t="s">
        <v>431</v>
      </c>
      <c r="AD151" s="23" t="s">
        <v>436</v>
      </c>
      <c r="AE151" s="23" t="s">
        <v>397</v>
      </c>
      <c r="AF151" s="23" t="s">
        <v>69</v>
      </c>
      <c r="AG151" s="23"/>
      <c r="AH151" s="23"/>
      <c r="AI151" s="23"/>
      <c r="AJ151" s="13" t="n">
        <v>0</v>
      </c>
      <c r="AK151" s="13" t="n">
        <v>0</v>
      </c>
      <c r="AL151" s="13" t="n">
        <v>0</v>
      </c>
      <c r="AM151" s="13" t="n">
        <v>0</v>
      </c>
      <c r="AN151" s="13" t="n">
        <v>0</v>
      </c>
      <c r="AO151" s="13" t="n">
        <v>0</v>
      </c>
      <c r="AP151" s="13" t="n">
        <v>0</v>
      </c>
      <c r="AQ151" s="13" t="n">
        <v>0</v>
      </c>
      <c r="AR151" s="13" t="n">
        <v>0</v>
      </c>
      <c r="AS151" s="13" t="n">
        <v>0</v>
      </c>
      <c r="AT151" s="13" t="n">
        <v>0</v>
      </c>
      <c r="AU151" s="13" t="n">
        <v>0</v>
      </c>
      <c r="AV151" s="13" t="n">
        <v>0</v>
      </c>
      <c r="AW151" s="13" t="n">
        <v>0</v>
      </c>
      <c r="AX151" s="13" t="n">
        <v>0</v>
      </c>
      <c r="AY151" s="13" t="n">
        <v>1</v>
      </c>
      <c r="AZ151" s="13" t="n">
        <v>0</v>
      </c>
      <c r="BA151" s="23" t="str">
        <f aca="false">_xlfn.TEXTJOIN(", ",TRUE(),IF(AJ151=1,"glutine",IF(AJ151=2,"glutine (tracce)","")),IF(AK151=1,"latte",IF(AK151=2,"latte (tracce)","")),IF(AL151=1,"lattosio",IF(AL151=2,"lattosio (tracce)","")),IF(AM151=1,"uova",IF(AM151=2,"uova (tracce)","")),IF(AN151=1,"pesce",IF(AN151=2,"pesce (tracce)","")),IF(AO151=1,"crostacei",IF(AO151=2,"crostacei (tracce)","")),IF(AP151=1,"molluschi",IF(AP151=2,"molluschi (tracce)","")),IF(AQ151=1,"frutta a guscio",IF(AQ151=2,"frutta a guscio (tracce)","")),IF(AR151=1,"arachidi",IF(AR151=2,"arachidi (tracce)","")),IF(AS151=1,"soia",IF(AS151=2,"soia (tracce)","")),IF(AT151=1,"sesamo",IF(AT151=2,"sesamo (tracce)","")),IF(AU151=1,"sedano",IF(AU151=2,"sedano (tracce)","")),IF(AV151=1,"senape",IF(AV151=2,"senape (tracce)","")),IF(AW151=1,"solfiti",IF(AW151=2,"solfiti (tracce)","")),IF(AX151=1,"lupini",IF(AX151=2,"lupini (tracce)","")),IF(AY151=1,"nichel",IF(AY151=2,"nichel (tracce)","")),IF(AZ151=1,"FODMAP",IF(AZ151=2,"FODMAP (tracce)","")))</f>
        <v>nichel</v>
      </c>
      <c r="BB151" s="23" t="n">
        <f aca="false">ROUND(4*C151+4*D151+9*E151+2*N(F151),0)</f>
        <v>25</v>
      </c>
      <c r="BC151" s="23" t="s">
        <v>70</v>
      </c>
      <c r="BD151" s="23"/>
    </row>
    <row r="152" customFormat="false" ht="15" hidden="false" customHeight="false" outlineLevel="0" collapsed="false">
      <c r="A152" s="19" t="s">
        <v>437</v>
      </c>
      <c r="B152" s="20" t="n">
        <v>25</v>
      </c>
      <c r="C152" s="21" t="n">
        <v>2.9</v>
      </c>
      <c r="D152" s="21" t="n">
        <v>1</v>
      </c>
      <c r="E152" s="21" t="n">
        <v>0.2</v>
      </c>
      <c r="F152" s="22" t="n">
        <v>3</v>
      </c>
      <c r="G152" s="22" t="n">
        <v>3.5</v>
      </c>
      <c r="H152" s="22" t="n">
        <v>0.03</v>
      </c>
      <c r="I152" s="22" t="n">
        <v>0.02</v>
      </c>
      <c r="J152" s="22" t="n">
        <v>0.08</v>
      </c>
      <c r="K152" s="22" t="n">
        <v>0</v>
      </c>
      <c r="L152" s="22" t="n">
        <v>2</v>
      </c>
      <c r="M152" s="22" t="n">
        <v>229</v>
      </c>
      <c r="N152" s="22" t="n">
        <v>9</v>
      </c>
      <c r="O152" s="22" t="n">
        <v>24</v>
      </c>
      <c r="P152" s="22" t="n">
        <v>14</v>
      </c>
      <c r="Q152" s="22" t="n">
        <v>0.23</v>
      </c>
      <c r="R152" s="22" t="n">
        <v>0.16</v>
      </c>
      <c r="S152" s="22" t="n">
        <v>1</v>
      </c>
      <c r="T152" s="22" t="n">
        <v>2.2</v>
      </c>
      <c r="U152" s="22" t="n">
        <v>0</v>
      </c>
      <c r="V152" s="22" t="n">
        <v>0.3</v>
      </c>
      <c r="W152" s="22" t="n">
        <v>0.04</v>
      </c>
      <c r="X152" s="22" t="n">
        <v>0.04</v>
      </c>
      <c r="Y152" s="22" t="n">
        <v>0.65</v>
      </c>
      <c r="Z152" s="22" t="n">
        <v>0.08</v>
      </c>
      <c r="AA152" s="22" t="n">
        <v>22</v>
      </c>
      <c r="AB152" s="22" t="n">
        <v>0</v>
      </c>
      <c r="AC152" s="23" t="s">
        <v>431</v>
      </c>
      <c r="AD152" s="23" t="s">
        <v>438</v>
      </c>
      <c r="AE152" s="23" t="s">
        <v>397</v>
      </c>
      <c r="AF152" s="23" t="s">
        <v>69</v>
      </c>
      <c r="AG152" s="23"/>
      <c r="AH152" s="23"/>
      <c r="AI152" s="23"/>
      <c r="AJ152" s="13" t="n">
        <v>0</v>
      </c>
      <c r="AK152" s="13" t="n">
        <v>0</v>
      </c>
      <c r="AL152" s="13" t="n">
        <v>0</v>
      </c>
      <c r="AM152" s="13" t="n">
        <v>0</v>
      </c>
      <c r="AN152" s="13" t="n">
        <v>0</v>
      </c>
      <c r="AO152" s="13" t="n">
        <v>0</v>
      </c>
      <c r="AP152" s="13" t="n">
        <v>0</v>
      </c>
      <c r="AQ152" s="13" t="n">
        <v>0</v>
      </c>
      <c r="AR152" s="13" t="n">
        <v>0</v>
      </c>
      <c r="AS152" s="13" t="n">
        <v>0</v>
      </c>
      <c r="AT152" s="13" t="n">
        <v>0</v>
      </c>
      <c r="AU152" s="13" t="n">
        <v>0</v>
      </c>
      <c r="AV152" s="13" t="n">
        <v>0</v>
      </c>
      <c r="AW152" s="13" t="n">
        <v>0</v>
      </c>
      <c r="AX152" s="13" t="n">
        <v>0</v>
      </c>
      <c r="AY152" s="13" t="n">
        <v>0</v>
      </c>
      <c r="AZ152" s="13" t="n">
        <v>0</v>
      </c>
      <c r="BA152" s="23" t="str">
        <f aca="false">_xlfn.TEXTJOIN(", ",TRUE(),IF(AJ152=1,"glutine",IF(AJ152=2,"glutine (tracce)","")),IF(AK152=1,"latte",IF(AK152=2,"latte (tracce)","")),IF(AL152=1,"lattosio",IF(AL152=2,"lattosio (tracce)","")),IF(AM152=1,"uova",IF(AM152=2,"uova (tracce)","")),IF(AN152=1,"pesce",IF(AN152=2,"pesce (tracce)","")),IF(AO152=1,"crostacei",IF(AO152=2,"crostacei (tracce)","")),IF(AP152=1,"molluschi",IF(AP152=2,"molluschi (tracce)","")),IF(AQ152=1,"frutta a guscio",IF(AQ152=2,"frutta a guscio (tracce)","")),IF(AR152=1,"arachidi",IF(AR152=2,"arachidi (tracce)","")),IF(AS152=1,"soia",IF(AS152=2,"soia (tracce)","")),IF(AT152=1,"sesamo",IF(AT152=2,"sesamo (tracce)","")),IF(AU152=1,"sedano",IF(AU152=2,"sedano (tracce)","")),IF(AV152=1,"senape",IF(AV152=2,"senape (tracce)","")),IF(AW152=1,"solfiti",IF(AW152=2,"solfiti (tracce)","")),IF(AX152=1,"lupini",IF(AX152=2,"lupini (tracce)","")),IF(AY152=1,"nichel",IF(AY152=2,"nichel (tracce)","")),IF(AZ152=1,"FODMAP",IF(AZ152=2,"FODMAP (tracce)","")))</f>
        <v/>
      </c>
      <c r="BB152" s="23" t="n">
        <f aca="false">ROUND(4*C152+4*D152+9*E152+2*N(F152),0)</f>
        <v>23</v>
      </c>
      <c r="BC152" s="23" t="s">
        <v>70</v>
      </c>
      <c r="BD152" s="23"/>
    </row>
    <row r="153" customFormat="false" ht="15" hidden="false" customHeight="false" outlineLevel="0" collapsed="false">
      <c r="A153" s="19" t="s">
        <v>439</v>
      </c>
      <c r="B153" s="20" t="n">
        <v>26</v>
      </c>
      <c r="C153" s="21" t="n">
        <v>6</v>
      </c>
      <c r="D153" s="21" t="n">
        <v>1</v>
      </c>
      <c r="E153" s="21" t="n">
        <v>0.1</v>
      </c>
      <c r="F153" s="22" t="n">
        <v>0.5</v>
      </c>
      <c r="G153" s="22" t="n">
        <v>2.76</v>
      </c>
      <c r="H153" s="22" t="n">
        <v>0.05</v>
      </c>
      <c r="I153" s="22" t="n">
        <v>0.01</v>
      </c>
      <c r="J153" s="22" t="n">
        <v>0.01</v>
      </c>
      <c r="K153" s="22" t="n">
        <v>0</v>
      </c>
      <c r="L153" s="22" t="n">
        <v>1</v>
      </c>
      <c r="M153" s="22" t="n">
        <v>340</v>
      </c>
      <c r="N153" s="22" t="n">
        <v>21</v>
      </c>
      <c r="O153" s="22" t="n">
        <v>44</v>
      </c>
      <c r="P153" s="22" t="n">
        <v>12</v>
      </c>
      <c r="Q153" s="22" t="n">
        <v>0.8</v>
      </c>
      <c r="R153" s="22" t="n">
        <v>0.32</v>
      </c>
      <c r="S153" s="22" t="n">
        <v>426</v>
      </c>
      <c r="T153" s="22" t="n">
        <v>9</v>
      </c>
      <c r="U153" s="22" t="n">
        <v>0</v>
      </c>
      <c r="V153" s="22" t="n">
        <v>1.06</v>
      </c>
      <c r="W153" s="22" t="n">
        <v>0.05</v>
      </c>
      <c r="X153" s="22" t="n">
        <v>0.11</v>
      </c>
      <c r="Y153" s="22" t="n">
        <v>0.6</v>
      </c>
      <c r="Z153" s="22" t="n">
        <v>0.06</v>
      </c>
      <c r="AA153" s="22" t="n">
        <v>16</v>
      </c>
      <c r="AB153" s="22" t="n">
        <v>0</v>
      </c>
      <c r="AC153" s="23" t="s">
        <v>431</v>
      </c>
      <c r="AD153" s="23" t="s">
        <v>440</v>
      </c>
      <c r="AE153" s="23" t="s">
        <v>397</v>
      </c>
      <c r="AF153" s="23" t="s">
        <v>69</v>
      </c>
      <c r="AG153" s="23"/>
      <c r="AH153" s="23"/>
      <c r="AI153" s="23"/>
      <c r="AJ153" s="13" t="n">
        <v>0</v>
      </c>
      <c r="AK153" s="13" t="n">
        <v>0</v>
      </c>
      <c r="AL153" s="13" t="n">
        <v>0</v>
      </c>
      <c r="AM153" s="13" t="n">
        <v>0</v>
      </c>
      <c r="AN153" s="13" t="n">
        <v>0</v>
      </c>
      <c r="AO153" s="13" t="n">
        <v>0</v>
      </c>
      <c r="AP153" s="13" t="n">
        <v>0</v>
      </c>
      <c r="AQ153" s="13" t="n">
        <v>0</v>
      </c>
      <c r="AR153" s="13" t="n">
        <v>0</v>
      </c>
      <c r="AS153" s="13" t="n">
        <v>0</v>
      </c>
      <c r="AT153" s="13" t="n">
        <v>0</v>
      </c>
      <c r="AU153" s="13" t="n">
        <v>0</v>
      </c>
      <c r="AV153" s="13" t="n">
        <v>0</v>
      </c>
      <c r="AW153" s="13" t="n">
        <v>0</v>
      </c>
      <c r="AX153" s="13" t="n">
        <v>0</v>
      </c>
      <c r="AY153" s="13" t="n">
        <v>0</v>
      </c>
      <c r="AZ153" s="13" t="n">
        <v>0</v>
      </c>
      <c r="BA153" s="23" t="str">
        <f aca="false">_xlfn.TEXTJOIN(", ",TRUE(),IF(AJ153=1,"glutine",IF(AJ153=2,"glutine (tracce)","")),IF(AK153=1,"latte",IF(AK153=2,"latte (tracce)","")),IF(AL153=1,"lattosio",IF(AL153=2,"lattosio (tracce)","")),IF(AM153=1,"uova",IF(AM153=2,"uova (tracce)","")),IF(AN153=1,"pesce",IF(AN153=2,"pesce (tracce)","")),IF(AO153=1,"crostacei",IF(AO153=2,"crostacei (tracce)","")),IF(AP153=1,"molluschi",IF(AP153=2,"molluschi (tracce)","")),IF(AQ153=1,"frutta a guscio",IF(AQ153=2,"frutta a guscio (tracce)","")),IF(AR153=1,"arachidi",IF(AR153=2,"arachidi (tracce)","")),IF(AS153=1,"soia",IF(AS153=2,"soia (tracce)","")),IF(AT153=1,"sesamo",IF(AT153=2,"sesamo (tracce)","")),IF(AU153=1,"sedano",IF(AU153=2,"sedano (tracce)","")),IF(AV153=1,"senape",IF(AV153=2,"senape (tracce)","")),IF(AW153=1,"solfiti",IF(AW153=2,"solfiti (tracce)","")),IF(AX153=1,"lupini",IF(AX153=2,"lupini (tracce)","")),IF(AY153=1,"nichel",IF(AY153=2,"nichel (tracce)","")),IF(AZ153=1,"FODMAP",IF(AZ153=2,"FODMAP (tracce)","")))</f>
        <v/>
      </c>
      <c r="BB153" s="23" t="n">
        <f aca="false">ROUND(4*C153+4*D153+9*E153+2*N(F153),0)</f>
        <v>30</v>
      </c>
      <c r="BC153" s="23" t="s">
        <v>70</v>
      </c>
      <c r="BD153" s="23"/>
    </row>
    <row r="154" customFormat="false" ht="15" hidden="false" customHeight="false" outlineLevel="0" collapsed="false">
      <c r="A154" s="19" t="s">
        <v>441</v>
      </c>
      <c r="B154" s="20" t="n">
        <v>31</v>
      </c>
      <c r="C154" s="21" t="n">
        <v>4.3</v>
      </c>
      <c r="D154" s="21" t="n">
        <v>1.8</v>
      </c>
      <c r="E154" s="21" t="n">
        <v>0.2</v>
      </c>
      <c r="F154" s="22" t="n">
        <v>2.7</v>
      </c>
      <c r="G154" s="22" t="n">
        <v>3.3</v>
      </c>
      <c r="H154" s="22" t="n">
        <v>0.05</v>
      </c>
      <c r="I154" s="22" t="n">
        <v>0.01</v>
      </c>
      <c r="J154" s="22" t="n">
        <v>0.11</v>
      </c>
      <c r="K154" s="22" t="n">
        <v>0</v>
      </c>
      <c r="L154" s="22" t="n">
        <v>6</v>
      </c>
      <c r="M154" s="22" t="n">
        <v>211</v>
      </c>
      <c r="N154" s="22" t="n">
        <v>37</v>
      </c>
      <c r="O154" s="22" t="n">
        <v>38</v>
      </c>
      <c r="P154" s="22" t="n">
        <v>25</v>
      </c>
      <c r="Q154" s="22" t="n">
        <v>1.03</v>
      </c>
      <c r="R154" s="22" t="n">
        <v>0.24</v>
      </c>
      <c r="S154" s="22" t="n">
        <v>35</v>
      </c>
      <c r="T154" s="22" t="n">
        <v>12.2</v>
      </c>
      <c r="U154" s="22" t="n">
        <v>0</v>
      </c>
      <c r="V154" s="22" t="n">
        <v>0.41</v>
      </c>
      <c r="W154" s="22" t="n">
        <v>0.08</v>
      </c>
      <c r="X154" s="22" t="n">
        <v>0.1</v>
      </c>
      <c r="Y154" s="22" t="n">
        <v>0.73</v>
      </c>
      <c r="Z154" s="22" t="n">
        <v>0.14</v>
      </c>
      <c r="AA154" s="22" t="n">
        <v>33</v>
      </c>
      <c r="AB154" s="22" t="n">
        <v>0</v>
      </c>
      <c r="AC154" s="23" t="s">
        <v>431</v>
      </c>
      <c r="AD154" s="23" t="s">
        <v>442</v>
      </c>
      <c r="AE154" s="23" t="s">
        <v>397</v>
      </c>
      <c r="AF154" s="23" t="s">
        <v>69</v>
      </c>
      <c r="AG154" s="23"/>
      <c r="AH154" s="23"/>
      <c r="AI154" s="23"/>
      <c r="AJ154" s="13" t="n">
        <v>0</v>
      </c>
      <c r="AK154" s="13" t="n">
        <v>0</v>
      </c>
      <c r="AL154" s="13" t="n">
        <v>0</v>
      </c>
      <c r="AM154" s="13" t="n">
        <v>0</v>
      </c>
      <c r="AN154" s="13" t="n">
        <v>0</v>
      </c>
      <c r="AO154" s="13" t="n">
        <v>0</v>
      </c>
      <c r="AP154" s="13" t="n">
        <v>0</v>
      </c>
      <c r="AQ154" s="13" t="n">
        <v>0</v>
      </c>
      <c r="AR154" s="13" t="n">
        <v>0</v>
      </c>
      <c r="AS154" s="13" t="n">
        <v>0</v>
      </c>
      <c r="AT154" s="13" t="n">
        <v>0</v>
      </c>
      <c r="AU154" s="13" t="n">
        <v>0</v>
      </c>
      <c r="AV154" s="13" t="n">
        <v>0</v>
      </c>
      <c r="AW154" s="13" t="n">
        <v>0</v>
      </c>
      <c r="AX154" s="13" t="n">
        <v>0</v>
      </c>
      <c r="AY154" s="13" t="n">
        <v>1</v>
      </c>
      <c r="AZ154" s="13" t="n">
        <v>0</v>
      </c>
      <c r="BA154" s="23" t="str">
        <f aca="false">_xlfn.TEXTJOIN(", ",TRUE(),IF(AJ154=1,"glutine",IF(AJ154=2,"glutine (tracce)","")),IF(AK154=1,"latte",IF(AK154=2,"latte (tracce)","")),IF(AL154=1,"lattosio",IF(AL154=2,"lattosio (tracce)","")),IF(AM154=1,"uova",IF(AM154=2,"uova (tracce)","")),IF(AN154=1,"pesce",IF(AN154=2,"pesce (tracce)","")),IF(AO154=1,"crostacei",IF(AO154=2,"crostacei (tracce)","")),IF(AP154=1,"molluschi",IF(AP154=2,"molluschi (tracce)","")),IF(AQ154=1,"frutta a guscio",IF(AQ154=2,"frutta a guscio (tracce)","")),IF(AR154=1,"arachidi",IF(AR154=2,"arachidi (tracce)","")),IF(AS154=1,"soia",IF(AS154=2,"soia (tracce)","")),IF(AT154=1,"sesamo",IF(AT154=2,"sesamo (tracce)","")),IF(AU154=1,"sedano",IF(AU154=2,"sedano (tracce)","")),IF(AV154=1,"senape",IF(AV154=2,"senape (tracce)","")),IF(AW154=1,"solfiti",IF(AW154=2,"solfiti (tracce)","")),IF(AX154=1,"lupini",IF(AX154=2,"lupini (tracce)","")),IF(AY154=1,"nichel",IF(AY154=2,"nichel (tracce)","")),IF(AZ154=1,"FODMAP",IF(AZ154=2,"FODMAP (tracce)","")))</f>
        <v>nichel</v>
      </c>
      <c r="BB154" s="23" t="n">
        <f aca="false">ROUND(4*C154+4*D154+9*E154+2*N(F154),0)</f>
        <v>32</v>
      </c>
      <c r="BC154" s="23" t="s">
        <v>70</v>
      </c>
      <c r="BD154" s="23"/>
    </row>
    <row r="155" customFormat="false" ht="15" hidden="false" customHeight="false" outlineLevel="0" collapsed="false">
      <c r="A155" s="19" t="s">
        <v>443</v>
      </c>
      <c r="B155" s="20" t="n">
        <v>15</v>
      </c>
      <c r="C155" s="21" t="n">
        <v>1.5</v>
      </c>
      <c r="D155" s="21" t="n">
        <v>1.4</v>
      </c>
      <c r="E155" s="21" t="n">
        <v>0.2</v>
      </c>
      <c r="F155" s="22" t="n">
        <v>1.3</v>
      </c>
      <c r="G155" s="22" t="n">
        <v>0.78</v>
      </c>
      <c r="H155" s="22" t="n">
        <v>0.02</v>
      </c>
      <c r="I155" s="22" t="n">
        <v>0.01</v>
      </c>
      <c r="J155" s="22" t="n">
        <v>0.08</v>
      </c>
      <c r="K155" s="22" t="n">
        <v>0</v>
      </c>
      <c r="L155" s="22" t="n">
        <v>28</v>
      </c>
      <c r="M155" s="22" t="n">
        <v>194</v>
      </c>
      <c r="N155" s="22" t="n">
        <v>36</v>
      </c>
      <c r="O155" s="22" t="n">
        <v>29</v>
      </c>
      <c r="P155" s="22" t="n">
        <v>13</v>
      </c>
      <c r="Q155" s="22" t="n">
        <v>0.86</v>
      </c>
      <c r="R155" s="22" t="n">
        <v>0.18</v>
      </c>
      <c r="S155" s="22" t="n">
        <v>370</v>
      </c>
      <c r="T155" s="22" t="n">
        <v>9.2</v>
      </c>
      <c r="U155" s="22" t="n">
        <v>0</v>
      </c>
      <c r="V155" s="22" t="n">
        <v>0.22</v>
      </c>
      <c r="W155" s="22" t="n">
        <v>0.07</v>
      </c>
      <c r="X155" s="22" t="n">
        <v>0.08</v>
      </c>
      <c r="Y155" s="22" t="n">
        <v>0.38</v>
      </c>
      <c r="Z155" s="22" t="n">
        <v>0.09</v>
      </c>
      <c r="AA155" s="22" t="n">
        <v>38</v>
      </c>
      <c r="AB155" s="22" t="n">
        <v>0</v>
      </c>
      <c r="AC155" s="23" t="s">
        <v>431</v>
      </c>
      <c r="AD155" s="23" t="s">
        <v>444</v>
      </c>
      <c r="AE155" s="23" t="s">
        <v>397</v>
      </c>
      <c r="AF155" s="23" t="s">
        <v>69</v>
      </c>
      <c r="AG155" s="23"/>
      <c r="AH155" s="23"/>
      <c r="AI155" s="23"/>
      <c r="AJ155" s="13" t="n">
        <v>0</v>
      </c>
      <c r="AK155" s="13" t="n">
        <v>0</v>
      </c>
      <c r="AL155" s="13" t="n">
        <v>0</v>
      </c>
      <c r="AM155" s="13" t="n">
        <v>0</v>
      </c>
      <c r="AN155" s="13" t="n">
        <v>0</v>
      </c>
      <c r="AO155" s="13" t="n">
        <v>0</v>
      </c>
      <c r="AP155" s="13" t="n">
        <v>0</v>
      </c>
      <c r="AQ155" s="13" t="n">
        <v>0</v>
      </c>
      <c r="AR155" s="13" t="n">
        <v>0</v>
      </c>
      <c r="AS155" s="13" t="n">
        <v>0</v>
      </c>
      <c r="AT155" s="13" t="n">
        <v>0</v>
      </c>
      <c r="AU155" s="13" t="n">
        <v>0</v>
      </c>
      <c r="AV155" s="13" t="n">
        <v>0</v>
      </c>
      <c r="AW155" s="13" t="n">
        <v>0</v>
      </c>
      <c r="AX155" s="13" t="n">
        <v>0</v>
      </c>
      <c r="AY155" s="13" t="n">
        <v>0</v>
      </c>
      <c r="AZ155" s="13" t="n">
        <v>0</v>
      </c>
      <c r="BA155" s="23" t="str">
        <f aca="false">_xlfn.TEXTJOIN(", ",TRUE(),IF(AJ155=1,"glutine",IF(AJ155=2,"glutine (tracce)","")),IF(AK155=1,"latte",IF(AK155=2,"latte (tracce)","")),IF(AL155=1,"lattosio",IF(AL155=2,"lattosio (tracce)","")),IF(AM155=1,"uova",IF(AM155=2,"uova (tracce)","")),IF(AN155=1,"pesce",IF(AN155=2,"pesce (tracce)","")),IF(AO155=1,"crostacei",IF(AO155=2,"crostacei (tracce)","")),IF(AP155=1,"molluschi",IF(AP155=2,"molluschi (tracce)","")),IF(AQ155=1,"frutta a guscio",IF(AQ155=2,"frutta a guscio (tracce)","")),IF(AR155=1,"arachidi",IF(AR155=2,"arachidi (tracce)","")),IF(AS155=1,"soia",IF(AS155=2,"soia (tracce)","")),IF(AT155=1,"sesamo",IF(AT155=2,"sesamo (tracce)","")),IF(AU155=1,"sedano",IF(AU155=2,"sedano (tracce)","")),IF(AV155=1,"senape",IF(AV155=2,"senape (tracce)","")),IF(AW155=1,"solfiti",IF(AW155=2,"solfiti (tracce)","")),IF(AX155=1,"lupini",IF(AX155=2,"lupini (tracce)","")),IF(AY155=1,"nichel",IF(AY155=2,"nichel (tracce)","")),IF(AZ155=1,"FODMAP",IF(AZ155=2,"FODMAP (tracce)","")))</f>
        <v/>
      </c>
      <c r="BB155" s="23" t="n">
        <f aca="false">ROUND(4*C155+4*D155+9*E155+2*N(F155),0)</f>
        <v>16</v>
      </c>
      <c r="BC155" s="23" t="s">
        <v>70</v>
      </c>
      <c r="BD155" s="23"/>
    </row>
    <row r="156" customFormat="false" ht="15" hidden="false" customHeight="false" outlineLevel="0" collapsed="false">
      <c r="A156" s="19" t="s">
        <v>445</v>
      </c>
      <c r="B156" s="20" t="n">
        <v>14</v>
      </c>
      <c r="C156" s="21" t="n">
        <v>1.8</v>
      </c>
      <c r="D156" s="21" t="n">
        <v>0.9</v>
      </c>
      <c r="E156" s="21" t="n">
        <v>0.1</v>
      </c>
      <c r="F156" s="22" t="n">
        <v>1.2</v>
      </c>
      <c r="G156" s="22" t="n">
        <v>1.97</v>
      </c>
      <c r="H156" s="22" t="n">
        <v>0.02</v>
      </c>
      <c r="I156" s="22" t="n">
        <v>0.01</v>
      </c>
      <c r="J156" s="22" t="n">
        <v>0.07</v>
      </c>
      <c r="K156" s="22" t="n">
        <v>0</v>
      </c>
      <c r="L156" s="22" t="n">
        <v>10</v>
      </c>
      <c r="M156" s="22" t="n">
        <v>141</v>
      </c>
      <c r="N156" s="22" t="n">
        <v>18</v>
      </c>
      <c r="O156" s="22" t="n">
        <v>20</v>
      </c>
      <c r="P156" s="22" t="n">
        <v>7</v>
      </c>
      <c r="Q156" s="22" t="n">
        <v>0.41</v>
      </c>
      <c r="R156" s="22" t="n">
        <v>0.15</v>
      </c>
      <c r="S156" s="22" t="n">
        <v>25</v>
      </c>
      <c r="T156" s="22" t="n">
        <v>2.8</v>
      </c>
      <c r="U156" s="22" t="n">
        <v>0</v>
      </c>
      <c r="V156" s="22" t="n">
        <v>0.18</v>
      </c>
      <c r="W156" s="22" t="n">
        <v>0.04</v>
      </c>
      <c r="X156" s="22" t="n">
        <v>0.03</v>
      </c>
      <c r="Y156" s="22" t="n">
        <v>0.12</v>
      </c>
      <c r="Z156" s="22" t="n">
        <v>0.04</v>
      </c>
      <c r="AA156" s="22" t="n">
        <v>29</v>
      </c>
      <c r="AB156" s="22" t="n">
        <v>0</v>
      </c>
      <c r="AC156" s="23" t="s">
        <v>431</v>
      </c>
      <c r="AD156" s="23" t="s">
        <v>446</v>
      </c>
      <c r="AE156" s="23" t="s">
        <v>397</v>
      </c>
      <c r="AF156" s="23" t="s">
        <v>69</v>
      </c>
      <c r="AG156" s="23"/>
      <c r="AH156" s="23"/>
      <c r="AI156" s="23"/>
      <c r="AJ156" s="13" t="n">
        <v>0</v>
      </c>
      <c r="AK156" s="13" t="n">
        <v>0</v>
      </c>
      <c r="AL156" s="13" t="n">
        <v>0</v>
      </c>
      <c r="AM156" s="13" t="n">
        <v>0</v>
      </c>
      <c r="AN156" s="13" t="n">
        <v>0</v>
      </c>
      <c r="AO156" s="13" t="n">
        <v>0</v>
      </c>
      <c r="AP156" s="13" t="n">
        <v>0</v>
      </c>
      <c r="AQ156" s="13" t="n">
        <v>0</v>
      </c>
      <c r="AR156" s="13" t="n">
        <v>0</v>
      </c>
      <c r="AS156" s="13" t="n">
        <v>0</v>
      </c>
      <c r="AT156" s="13" t="n">
        <v>0</v>
      </c>
      <c r="AU156" s="13" t="n">
        <v>0</v>
      </c>
      <c r="AV156" s="13" t="n">
        <v>0</v>
      </c>
      <c r="AW156" s="13" t="n">
        <v>0</v>
      </c>
      <c r="AX156" s="13" t="n">
        <v>0</v>
      </c>
      <c r="AY156" s="13" t="n">
        <v>0</v>
      </c>
      <c r="AZ156" s="13" t="n">
        <v>0</v>
      </c>
      <c r="BA156" s="23" t="str">
        <f aca="false">_xlfn.TEXTJOIN(", ",TRUE(),IF(AJ156=1,"glutine",IF(AJ156=2,"glutine (tracce)","")),IF(AK156=1,"latte",IF(AK156=2,"latte (tracce)","")),IF(AL156=1,"lattosio",IF(AL156=2,"lattosio (tracce)","")),IF(AM156=1,"uova",IF(AM156=2,"uova (tracce)","")),IF(AN156=1,"pesce",IF(AN156=2,"pesce (tracce)","")),IF(AO156=1,"crostacei",IF(AO156=2,"crostacei (tracce)","")),IF(AP156=1,"molluschi",IF(AP156=2,"molluschi (tracce)","")),IF(AQ156=1,"frutta a guscio",IF(AQ156=2,"frutta a guscio (tracce)","")),IF(AR156=1,"arachidi",IF(AR156=2,"arachidi (tracce)","")),IF(AS156=1,"soia",IF(AS156=2,"soia (tracce)","")),IF(AT156=1,"sesamo",IF(AT156=2,"sesamo (tracce)","")),IF(AU156=1,"sedano",IF(AU156=2,"sedano (tracce)","")),IF(AV156=1,"senape",IF(AV156=2,"senape (tracce)","")),IF(AW156=1,"solfiti",IF(AW156=2,"solfiti (tracce)","")),IF(AX156=1,"lupini",IF(AX156=2,"lupini (tracce)","")),IF(AY156=1,"nichel",IF(AY156=2,"nichel (tracce)","")),IF(AZ156=1,"FODMAP",IF(AZ156=2,"FODMAP (tracce)","")))</f>
        <v/>
      </c>
      <c r="BB156" s="23" t="n">
        <f aca="false">ROUND(4*C156+4*D156+9*E156+2*N(F156),0)</f>
        <v>14</v>
      </c>
      <c r="BC156" s="23" t="s">
        <v>70</v>
      </c>
      <c r="BD156" s="23"/>
    </row>
    <row r="157" customFormat="false" ht="15" hidden="false" customHeight="false" outlineLevel="0" collapsed="false">
      <c r="A157" s="19" t="s">
        <v>447</v>
      </c>
      <c r="B157" s="20" t="n">
        <v>25</v>
      </c>
      <c r="C157" s="21" t="n">
        <v>2.1</v>
      </c>
      <c r="D157" s="21" t="n">
        <v>2.6</v>
      </c>
      <c r="E157" s="21" t="n">
        <v>0.7</v>
      </c>
      <c r="F157" s="22" t="n">
        <v>1.6</v>
      </c>
      <c r="G157" s="22" t="n">
        <v>2.05</v>
      </c>
      <c r="H157" s="22" t="n">
        <v>0.09</v>
      </c>
      <c r="I157" s="22" t="n">
        <v>0.05</v>
      </c>
      <c r="J157" s="22" t="n">
        <v>0.32</v>
      </c>
      <c r="K157" s="22" t="n">
        <v>0</v>
      </c>
      <c r="L157" s="22" t="n">
        <v>27</v>
      </c>
      <c r="M157" s="22" t="n">
        <v>369</v>
      </c>
      <c r="N157" s="22" t="n">
        <v>160</v>
      </c>
      <c r="O157" s="22" t="n">
        <v>52</v>
      </c>
      <c r="P157" s="22" t="n">
        <v>47</v>
      </c>
      <c r="Q157" s="22" t="n">
        <v>1.46</v>
      </c>
      <c r="R157" s="22" t="n">
        <v>0.47</v>
      </c>
      <c r="S157" s="22" t="n">
        <v>119</v>
      </c>
      <c r="T157" s="22" t="n">
        <v>15</v>
      </c>
      <c r="U157" s="22" t="n">
        <v>0</v>
      </c>
      <c r="V157" s="22" t="n">
        <v>0.43</v>
      </c>
      <c r="W157" s="22" t="n">
        <v>0.04</v>
      </c>
      <c r="X157" s="22" t="n">
        <v>0.09</v>
      </c>
      <c r="Y157" s="22" t="n">
        <v>0.31</v>
      </c>
      <c r="Z157" s="22" t="n">
        <v>0.07</v>
      </c>
      <c r="AA157" s="22" t="n">
        <v>97</v>
      </c>
      <c r="AB157" s="22" t="n">
        <v>0</v>
      </c>
      <c r="AC157" s="23" t="s">
        <v>431</v>
      </c>
      <c r="AD157" s="23" t="s">
        <v>448</v>
      </c>
      <c r="AE157" s="23" t="s">
        <v>397</v>
      </c>
      <c r="AF157" s="23" t="s">
        <v>69</v>
      </c>
      <c r="AG157" s="23"/>
      <c r="AH157" s="23"/>
      <c r="AI157" s="23"/>
      <c r="AJ157" s="13" t="n">
        <v>0</v>
      </c>
      <c r="AK157" s="13" t="n">
        <v>0</v>
      </c>
      <c r="AL157" s="13" t="n">
        <v>0</v>
      </c>
      <c r="AM157" s="13" t="n">
        <v>0</v>
      </c>
      <c r="AN157" s="13" t="n">
        <v>0</v>
      </c>
      <c r="AO157" s="13" t="n">
        <v>0</v>
      </c>
      <c r="AP157" s="13" t="n">
        <v>0</v>
      </c>
      <c r="AQ157" s="13" t="n">
        <v>0</v>
      </c>
      <c r="AR157" s="13" t="n">
        <v>0</v>
      </c>
      <c r="AS157" s="13" t="n">
        <v>0</v>
      </c>
      <c r="AT157" s="13" t="n">
        <v>0</v>
      </c>
      <c r="AU157" s="13" t="n">
        <v>0</v>
      </c>
      <c r="AV157" s="13" t="n">
        <v>0</v>
      </c>
      <c r="AW157" s="13" t="n">
        <v>0</v>
      </c>
      <c r="AX157" s="13" t="n">
        <v>0</v>
      </c>
      <c r="AY157" s="13" t="n">
        <v>0</v>
      </c>
      <c r="AZ157" s="13" t="n">
        <v>0</v>
      </c>
      <c r="BA157" s="23" t="str">
        <f aca="false">_xlfn.TEXTJOIN(", ",TRUE(),IF(AJ157=1,"glutine",IF(AJ157=2,"glutine (tracce)","")),IF(AK157=1,"latte",IF(AK157=2,"latte (tracce)","")),IF(AL157=1,"lattosio",IF(AL157=2,"lattosio (tracce)","")),IF(AM157=1,"uova",IF(AM157=2,"uova (tracce)","")),IF(AN157=1,"pesce",IF(AN157=2,"pesce (tracce)","")),IF(AO157=1,"crostacei",IF(AO157=2,"crostacei (tracce)","")),IF(AP157=1,"molluschi",IF(AP157=2,"molluschi (tracce)","")),IF(AQ157=1,"frutta a guscio",IF(AQ157=2,"frutta a guscio (tracce)","")),IF(AR157=1,"arachidi",IF(AR157=2,"arachidi (tracce)","")),IF(AS157=1,"soia",IF(AS157=2,"soia (tracce)","")),IF(AT157=1,"sesamo",IF(AT157=2,"sesamo (tracce)","")),IF(AU157=1,"sedano",IF(AU157=2,"sedano (tracce)","")),IF(AV157=1,"senape",IF(AV157=2,"senape (tracce)","")),IF(AW157=1,"solfiti",IF(AW157=2,"solfiti (tracce)","")),IF(AX157=1,"lupini",IF(AX157=2,"lupini (tracce)","")),IF(AY157=1,"nichel",IF(AY157=2,"nichel (tracce)","")),IF(AZ157=1,"FODMAP",IF(AZ157=2,"FODMAP (tracce)","")))</f>
        <v/>
      </c>
      <c r="BB157" s="23" t="n">
        <f aca="false">ROUND(4*C157+4*D157+9*E157+2*N(F157),0)</f>
        <v>28</v>
      </c>
      <c r="BC157" s="23" t="s">
        <v>70</v>
      </c>
      <c r="BD157" s="23"/>
    </row>
    <row r="158" customFormat="false" ht="15" hidden="false" customHeight="false" outlineLevel="0" collapsed="false">
      <c r="A158" s="19" t="s">
        <v>449</v>
      </c>
      <c r="B158" s="20" t="n">
        <v>23</v>
      </c>
      <c r="C158" s="21" t="n">
        <v>3.6</v>
      </c>
      <c r="D158" s="21" t="n">
        <v>1.4</v>
      </c>
      <c r="E158" s="21" t="n">
        <v>0.3</v>
      </c>
      <c r="F158" s="22" t="n">
        <v>0.9</v>
      </c>
      <c r="G158" s="22" t="n">
        <v>0.6</v>
      </c>
      <c r="H158" s="22" t="n">
        <v>0.06</v>
      </c>
      <c r="I158" s="22" t="n">
        <v>0.01</v>
      </c>
      <c r="J158" s="22" t="n">
        <v>0.11</v>
      </c>
      <c r="K158" s="22" t="n">
        <v>0</v>
      </c>
      <c r="L158" s="22" t="n">
        <v>22</v>
      </c>
      <c r="M158" s="22" t="n">
        <v>302</v>
      </c>
      <c r="N158" s="22" t="n">
        <v>19</v>
      </c>
      <c r="O158" s="22" t="n">
        <v>40</v>
      </c>
      <c r="P158" s="22" t="n">
        <v>13</v>
      </c>
      <c r="Q158" s="22" t="n">
        <v>0.57</v>
      </c>
      <c r="R158" s="22" t="n">
        <v>0.62</v>
      </c>
      <c r="S158" s="22" t="n">
        <v>1</v>
      </c>
      <c r="T158" s="22" t="n">
        <v>8</v>
      </c>
      <c r="U158" s="22" t="n">
        <v>0</v>
      </c>
      <c r="V158" s="22" t="n">
        <v>2.26</v>
      </c>
      <c r="W158" s="22" t="n">
        <v>0.02</v>
      </c>
      <c r="X158" s="22" t="n">
        <v>0.03</v>
      </c>
      <c r="Y158" s="22" t="n">
        <v>0.26</v>
      </c>
      <c r="Z158" s="22" t="n">
        <v>0.06</v>
      </c>
      <c r="AA158" s="22" t="n">
        <v>60</v>
      </c>
      <c r="AB158" s="22" t="n">
        <v>0</v>
      </c>
      <c r="AC158" s="23" t="s">
        <v>431</v>
      </c>
      <c r="AD158" s="23" t="s">
        <v>450</v>
      </c>
      <c r="AE158" s="23" t="s">
        <v>397</v>
      </c>
      <c r="AF158" s="23" t="s">
        <v>69</v>
      </c>
      <c r="AG158" s="23"/>
      <c r="AH158" s="23"/>
      <c r="AI158" s="23"/>
      <c r="AJ158" s="13" t="n">
        <v>0</v>
      </c>
      <c r="AK158" s="13" t="n">
        <v>0</v>
      </c>
      <c r="AL158" s="13" t="n">
        <v>0</v>
      </c>
      <c r="AM158" s="13" t="n">
        <v>0</v>
      </c>
      <c r="AN158" s="13" t="n">
        <v>0</v>
      </c>
      <c r="AO158" s="13" t="n">
        <v>0</v>
      </c>
      <c r="AP158" s="13" t="n">
        <v>0</v>
      </c>
      <c r="AQ158" s="13" t="n">
        <v>0</v>
      </c>
      <c r="AR158" s="13" t="n">
        <v>0</v>
      </c>
      <c r="AS158" s="13" t="n">
        <v>0</v>
      </c>
      <c r="AT158" s="13" t="n">
        <v>0</v>
      </c>
      <c r="AU158" s="13" t="n">
        <v>0</v>
      </c>
      <c r="AV158" s="13" t="n">
        <v>0</v>
      </c>
      <c r="AW158" s="13" t="n">
        <v>0</v>
      </c>
      <c r="AX158" s="13" t="n">
        <v>0</v>
      </c>
      <c r="AY158" s="13" t="n">
        <v>0</v>
      </c>
      <c r="AZ158" s="13" t="n">
        <v>0</v>
      </c>
      <c r="BA158" s="23" t="str">
        <f aca="false">_xlfn.TEXTJOIN(", ",TRUE(),IF(AJ158=1,"glutine",IF(AJ158=2,"glutine (tracce)","")),IF(AK158=1,"latte",IF(AK158=2,"latte (tracce)","")),IF(AL158=1,"lattosio",IF(AL158=2,"lattosio (tracce)","")),IF(AM158=1,"uova",IF(AM158=2,"uova (tracce)","")),IF(AN158=1,"pesce",IF(AN158=2,"pesce (tracce)","")),IF(AO158=1,"crostacei",IF(AO158=2,"crostacei (tracce)","")),IF(AP158=1,"molluschi",IF(AP158=2,"molluschi (tracce)","")),IF(AQ158=1,"frutta a guscio",IF(AQ158=2,"frutta a guscio (tracce)","")),IF(AR158=1,"arachidi",IF(AR158=2,"arachidi (tracce)","")),IF(AS158=1,"soia",IF(AS158=2,"soia (tracce)","")),IF(AT158=1,"sesamo",IF(AT158=2,"sesamo (tracce)","")),IF(AU158=1,"sedano",IF(AU158=2,"sedano (tracce)","")),IF(AV158=1,"senape",IF(AV158=2,"senape (tracce)","")),IF(AW158=1,"solfiti",IF(AW158=2,"solfiti (tracce)","")),IF(AX158=1,"lupini",IF(AX158=2,"lupini (tracce)","")),IF(AY158=1,"nichel",IF(AY158=2,"nichel (tracce)","")),IF(AZ158=1,"FODMAP",IF(AZ158=2,"FODMAP (tracce)","")))</f>
        <v/>
      </c>
      <c r="BB158" s="23" t="n">
        <f aca="false">ROUND(4*C158+4*D158+9*E158+2*N(F158),0)</f>
        <v>25</v>
      </c>
      <c r="BC158" s="23" t="s">
        <v>70</v>
      </c>
      <c r="BD158" s="23"/>
    </row>
    <row r="159" customFormat="false" ht="15" hidden="false" customHeight="false" outlineLevel="0" collapsed="false">
      <c r="A159" s="19" t="s">
        <v>451</v>
      </c>
      <c r="B159" s="20" t="n">
        <v>18</v>
      </c>
      <c r="C159" s="21" t="n">
        <v>2.7</v>
      </c>
      <c r="D159" s="21" t="n">
        <v>0.9</v>
      </c>
      <c r="E159" s="21" t="n">
        <v>0.2</v>
      </c>
      <c r="F159" s="22" t="n">
        <v>1.2</v>
      </c>
      <c r="G159" s="22" t="n">
        <v>2.63</v>
      </c>
      <c r="H159" s="22" t="n">
        <v>0.03</v>
      </c>
      <c r="I159" s="22" t="n">
        <v>0.03</v>
      </c>
      <c r="J159" s="22" t="n">
        <v>0.08</v>
      </c>
      <c r="K159" s="22" t="n">
        <v>0</v>
      </c>
      <c r="L159" s="22" t="n">
        <v>5</v>
      </c>
      <c r="M159" s="22" t="n">
        <v>237</v>
      </c>
      <c r="N159" s="22" t="n">
        <v>10</v>
      </c>
      <c r="O159" s="22" t="n">
        <v>24</v>
      </c>
      <c r="P159" s="22" t="n">
        <v>11</v>
      </c>
      <c r="Q159" s="22" t="n">
        <v>0.27</v>
      </c>
      <c r="R159" s="22" t="n">
        <v>0.17</v>
      </c>
      <c r="S159" s="22" t="n">
        <v>42</v>
      </c>
      <c r="T159" s="22" t="n">
        <v>13.7</v>
      </c>
      <c r="U159" s="22" t="n">
        <v>0</v>
      </c>
      <c r="V159" s="22" t="n">
        <v>0.54</v>
      </c>
      <c r="W159" s="22" t="n">
        <v>0.04</v>
      </c>
      <c r="X159" s="22" t="n">
        <v>0.02</v>
      </c>
      <c r="Y159" s="22" t="n">
        <v>0.59</v>
      </c>
      <c r="Z159" s="22" t="n">
        <v>0.08</v>
      </c>
      <c r="AA159" s="22" t="n">
        <v>15</v>
      </c>
      <c r="AB159" s="22" t="n">
        <v>0</v>
      </c>
      <c r="AC159" s="23" t="s">
        <v>431</v>
      </c>
      <c r="AD159" s="23" t="s">
        <v>452</v>
      </c>
      <c r="AE159" s="23" t="s">
        <v>397</v>
      </c>
      <c r="AF159" s="23" t="s">
        <v>69</v>
      </c>
      <c r="AG159" s="23"/>
      <c r="AH159" s="23"/>
      <c r="AI159" s="23"/>
      <c r="AJ159" s="13" t="n">
        <v>0</v>
      </c>
      <c r="AK159" s="13" t="n">
        <v>0</v>
      </c>
      <c r="AL159" s="13" t="n">
        <v>0</v>
      </c>
      <c r="AM159" s="13" t="n">
        <v>0</v>
      </c>
      <c r="AN159" s="13" t="n">
        <v>0</v>
      </c>
      <c r="AO159" s="13" t="n">
        <v>0</v>
      </c>
      <c r="AP159" s="13" t="n">
        <v>0</v>
      </c>
      <c r="AQ159" s="13" t="n">
        <v>0</v>
      </c>
      <c r="AR159" s="13" t="n">
        <v>0</v>
      </c>
      <c r="AS159" s="13" t="n">
        <v>0</v>
      </c>
      <c r="AT159" s="13" t="n">
        <v>0</v>
      </c>
      <c r="AU159" s="13" t="n">
        <v>0</v>
      </c>
      <c r="AV159" s="13" t="n">
        <v>0</v>
      </c>
      <c r="AW159" s="13" t="n">
        <v>0</v>
      </c>
      <c r="AX159" s="13" t="n">
        <v>0</v>
      </c>
      <c r="AY159" s="13" t="n">
        <v>1</v>
      </c>
      <c r="AZ159" s="13" t="n">
        <v>0</v>
      </c>
      <c r="BA159" s="23" t="str">
        <f aca="false">_xlfn.TEXTJOIN(", ",TRUE(),IF(AJ159=1,"glutine",IF(AJ159=2,"glutine (tracce)","")),IF(AK159=1,"latte",IF(AK159=2,"latte (tracce)","")),IF(AL159=1,"lattosio",IF(AL159=2,"lattosio (tracce)","")),IF(AM159=1,"uova",IF(AM159=2,"uova (tracce)","")),IF(AN159=1,"pesce",IF(AN159=2,"pesce (tracce)","")),IF(AO159=1,"crostacei",IF(AO159=2,"crostacei (tracce)","")),IF(AP159=1,"molluschi",IF(AP159=2,"molluschi (tracce)","")),IF(AQ159=1,"frutta a guscio",IF(AQ159=2,"frutta a guscio (tracce)","")),IF(AR159=1,"arachidi",IF(AR159=2,"arachidi (tracce)","")),IF(AS159=1,"soia",IF(AS159=2,"soia (tracce)","")),IF(AT159=1,"sesamo",IF(AT159=2,"sesamo (tracce)","")),IF(AU159=1,"sedano",IF(AU159=2,"sedano (tracce)","")),IF(AV159=1,"senape",IF(AV159=2,"senape (tracce)","")),IF(AW159=1,"solfiti",IF(AW159=2,"solfiti (tracce)","")),IF(AX159=1,"lupini",IF(AX159=2,"lupini (tracce)","")),IF(AY159=1,"nichel",IF(AY159=2,"nichel (tracce)","")),IF(AZ159=1,"FODMAP",IF(AZ159=2,"FODMAP (tracce)","")))</f>
        <v>nichel</v>
      </c>
      <c r="BB159" s="23" t="n">
        <f aca="false">ROUND(4*C159+4*D159+9*E159+2*N(F159),0)</f>
        <v>19</v>
      </c>
      <c r="BC159" s="23" t="s">
        <v>70</v>
      </c>
      <c r="BD159" s="23"/>
    </row>
    <row r="160" customFormat="false" ht="15" hidden="false" customHeight="false" outlineLevel="0" collapsed="false">
      <c r="A160" s="19" t="s">
        <v>453</v>
      </c>
      <c r="B160" s="20" t="n">
        <v>31</v>
      </c>
      <c r="C160" s="21" t="n">
        <v>3.9</v>
      </c>
      <c r="D160" s="21" t="n">
        <v>1</v>
      </c>
      <c r="E160" s="21" t="n">
        <v>0.3</v>
      </c>
      <c r="F160" s="22" t="n">
        <v>2.1</v>
      </c>
      <c r="G160" s="22" t="n">
        <v>4.2</v>
      </c>
      <c r="H160" s="22" t="n">
        <v>0.03</v>
      </c>
      <c r="I160" s="22" t="n">
        <v>0</v>
      </c>
      <c r="J160" s="22" t="n">
        <v>0.07</v>
      </c>
      <c r="K160" s="22" t="n">
        <v>0</v>
      </c>
      <c r="L160" s="22" t="n">
        <v>4</v>
      </c>
      <c r="M160" s="22" t="n">
        <v>211</v>
      </c>
      <c r="N160" s="22" t="n">
        <v>7</v>
      </c>
      <c r="O160" s="22" t="n">
        <v>26</v>
      </c>
      <c r="P160" s="22" t="n">
        <v>12</v>
      </c>
      <c r="Q160" s="22" t="n">
        <v>0.43</v>
      </c>
      <c r="R160" s="22" t="n">
        <v>0.25</v>
      </c>
      <c r="S160" s="22" t="n">
        <v>157</v>
      </c>
      <c r="T160" s="22" t="n">
        <v>127.7</v>
      </c>
      <c r="U160" s="22" t="n">
        <v>0</v>
      </c>
      <c r="V160" s="22" t="n">
        <v>1.58</v>
      </c>
      <c r="W160" s="22" t="n">
        <v>0.05</v>
      </c>
      <c r="X160" s="22" t="n">
        <v>0.09</v>
      </c>
      <c r="Y160" s="22" t="n">
        <v>0.98</v>
      </c>
      <c r="Z160" s="22" t="n">
        <v>0.29</v>
      </c>
      <c r="AA160" s="22" t="n">
        <v>46</v>
      </c>
      <c r="AB160" s="22" t="n">
        <v>0</v>
      </c>
      <c r="AC160" s="23" t="s">
        <v>431</v>
      </c>
      <c r="AD160" s="23" t="s">
        <v>454</v>
      </c>
      <c r="AE160" s="23" t="s">
        <v>397</v>
      </c>
      <c r="AF160" s="23" t="s">
        <v>69</v>
      </c>
      <c r="AG160" s="23"/>
      <c r="AH160" s="23"/>
      <c r="AI160" s="23"/>
      <c r="AJ160" s="13" t="n">
        <v>0</v>
      </c>
      <c r="AK160" s="13" t="n">
        <v>0</v>
      </c>
      <c r="AL160" s="13" t="n">
        <v>0</v>
      </c>
      <c r="AM160" s="13" t="n">
        <v>0</v>
      </c>
      <c r="AN160" s="13" t="n">
        <v>0</v>
      </c>
      <c r="AO160" s="13" t="n">
        <v>0</v>
      </c>
      <c r="AP160" s="13" t="n">
        <v>0</v>
      </c>
      <c r="AQ160" s="13" t="n">
        <v>0</v>
      </c>
      <c r="AR160" s="13" t="n">
        <v>0</v>
      </c>
      <c r="AS160" s="13" t="n">
        <v>0</v>
      </c>
      <c r="AT160" s="13" t="n">
        <v>0</v>
      </c>
      <c r="AU160" s="13" t="n">
        <v>0</v>
      </c>
      <c r="AV160" s="13" t="n">
        <v>0</v>
      </c>
      <c r="AW160" s="13" t="n">
        <v>0</v>
      </c>
      <c r="AX160" s="13" t="n">
        <v>0</v>
      </c>
      <c r="AY160" s="13" t="n">
        <v>0</v>
      </c>
      <c r="AZ160" s="13" t="n">
        <v>0</v>
      </c>
      <c r="BA160" s="23" t="str">
        <f aca="false">_xlfn.TEXTJOIN(", ",TRUE(),IF(AJ160=1,"glutine",IF(AJ160=2,"glutine (tracce)","")),IF(AK160=1,"latte",IF(AK160=2,"latte (tracce)","")),IF(AL160=1,"lattosio",IF(AL160=2,"lattosio (tracce)","")),IF(AM160=1,"uova",IF(AM160=2,"uova (tracce)","")),IF(AN160=1,"pesce",IF(AN160=2,"pesce (tracce)","")),IF(AO160=1,"crostacei",IF(AO160=2,"crostacei (tracce)","")),IF(AP160=1,"molluschi",IF(AP160=2,"molluschi (tracce)","")),IF(AQ160=1,"frutta a guscio",IF(AQ160=2,"frutta a guscio (tracce)","")),IF(AR160=1,"arachidi",IF(AR160=2,"arachidi (tracce)","")),IF(AS160=1,"soia",IF(AS160=2,"soia (tracce)","")),IF(AT160=1,"sesamo",IF(AT160=2,"sesamo (tracce)","")),IF(AU160=1,"sedano",IF(AU160=2,"sedano (tracce)","")),IF(AV160=1,"senape",IF(AV160=2,"senape (tracce)","")),IF(AW160=1,"solfiti",IF(AW160=2,"solfiti (tracce)","")),IF(AX160=1,"lupini",IF(AX160=2,"lupini (tracce)","")),IF(AY160=1,"nichel",IF(AY160=2,"nichel (tracce)","")),IF(AZ160=1,"FODMAP",IF(AZ160=2,"FODMAP (tracce)","")))</f>
        <v/>
      </c>
      <c r="BB160" s="23" t="n">
        <f aca="false">ROUND(4*C160+4*D160+9*E160+2*N(F160),0)</f>
        <v>27</v>
      </c>
      <c r="BC160" s="23" t="s">
        <v>70</v>
      </c>
      <c r="BD160" s="23"/>
    </row>
    <row r="161" customFormat="false" ht="15" hidden="false" customHeight="false" outlineLevel="0" collapsed="false">
      <c r="A161" s="19" t="s">
        <v>455</v>
      </c>
      <c r="B161" s="20" t="n">
        <v>31</v>
      </c>
      <c r="C161" s="21" t="n">
        <v>4.2</v>
      </c>
      <c r="D161" s="21" t="n">
        <v>1.2</v>
      </c>
      <c r="E161" s="21" t="n">
        <v>0.2</v>
      </c>
      <c r="F161" s="22" t="n">
        <v>3.1</v>
      </c>
      <c r="G161" s="22"/>
      <c r="H161" s="22" t="n">
        <v>0.09</v>
      </c>
      <c r="I161" s="22" t="n">
        <v>0.07</v>
      </c>
      <c r="J161" s="22" t="n">
        <v>0.17</v>
      </c>
      <c r="K161" s="22" t="n">
        <v>0</v>
      </c>
      <c r="L161" s="22" t="n">
        <v>52</v>
      </c>
      <c r="M161" s="22" t="n">
        <v>414</v>
      </c>
      <c r="N161" s="22" t="n">
        <v>49</v>
      </c>
      <c r="O161" s="22" t="n">
        <v>50</v>
      </c>
      <c r="P161" s="22" t="n">
        <v>17</v>
      </c>
      <c r="Q161" s="22" t="n">
        <v>0.73</v>
      </c>
      <c r="R161" s="22" t="n">
        <v>0.2</v>
      </c>
      <c r="S161" s="22" t="n">
        <v>7</v>
      </c>
      <c r="T161" s="22" t="n">
        <v>12</v>
      </c>
      <c r="U161" s="22" t="n">
        <v>0</v>
      </c>
      <c r="V161" s="22" t="n">
        <v>0.58</v>
      </c>
      <c r="W161" s="22" t="n">
        <v>0.01</v>
      </c>
      <c r="X161" s="22" t="n">
        <v>0.03</v>
      </c>
      <c r="Y161" s="22" t="n">
        <v>0.64</v>
      </c>
      <c r="Z161" s="22" t="n">
        <v>0.05</v>
      </c>
      <c r="AA161" s="22" t="n">
        <v>27</v>
      </c>
      <c r="AB161" s="22" t="n">
        <v>0</v>
      </c>
      <c r="AC161" s="23" t="s">
        <v>431</v>
      </c>
      <c r="AD161" s="23" t="s">
        <v>456</v>
      </c>
      <c r="AE161" s="23" t="s">
        <v>397</v>
      </c>
      <c r="AF161" s="23" t="s">
        <v>69</v>
      </c>
      <c r="AG161" s="23"/>
      <c r="AH161" s="23"/>
      <c r="AI161" s="23"/>
      <c r="AJ161" s="13" t="n">
        <v>0</v>
      </c>
      <c r="AK161" s="13" t="n">
        <v>0</v>
      </c>
      <c r="AL161" s="13" t="n">
        <v>0</v>
      </c>
      <c r="AM161" s="13" t="n">
        <v>0</v>
      </c>
      <c r="AN161" s="13" t="n">
        <v>0</v>
      </c>
      <c r="AO161" s="13" t="n">
        <v>0</v>
      </c>
      <c r="AP161" s="13" t="n">
        <v>0</v>
      </c>
      <c r="AQ161" s="13" t="n">
        <v>0</v>
      </c>
      <c r="AR161" s="13" t="n">
        <v>0</v>
      </c>
      <c r="AS161" s="13" t="n">
        <v>0</v>
      </c>
      <c r="AT161" s="13" t="n">
        <v>0</v>
      </c>
      <c r="AU161" s="13" t="n">
        <v>0</v>
      </c>
      <c r="AV161" s="13" t="n">
        <v>0</v>
      </c>
      <c r="AW161" s="13" t="n">
        <v>0</v>
      </c>
      <c r="AX161" s="13" t="n">
        <v>0</v>
      </c>
      <c r="AY161" s="13" t="n">
        <v>0</v>
      </c>
      <c r="AZ161" s="13" t="n">
        <v>0</v>
      </c>
      <c r="BA161" s="23" t="str">
        <f aca="false">_xlfn.TEXTJOIN(", ",TRUE(),IF(AJ161=1,"glutine",IF(AJ161=2,"glutine (tracce)","")),IF(AK161=1,"latte",IF(AK161=2,"latte (tracce)","")),IF(AL161=1,"lattosio",IF(AL161=2,"lattosio (tracce)","")),IF(AM161=1,"uova",IF(AM161=2,"uova (tracce)","")),IF(AN161=1,"pesce",IF(AN161=2,"pesce (tracce)","")),IF(AO161=1,"crostacei",IF(AO161=2,"crostacei (tracce)","")),IF(AP161=1,"molluschi",IF(AP161=2,"molluschi (tracce)","")),IF(AQ161=1,"frutta a guscio",IF(AQ161=2,"frutta a guscio (tracce)","")),IF(AR161=1,"arachidi",IF(AR161=2,"arachidi (tracce)","")),IF(AS161=1,"soia",IF(AS161=2,"soia (tracce)","")),IF(AT161=1,"sesamo",IF(AT161=2,"sesamo (tracce)","")),IF(AU161=1,"sedano",IF(AU161=2,"sedano (tracce)","")),IF(AV161=1,"senape",IF(AV161=2,"senape (tracce)","")),IF(AW161=1,"solfiti",IF(AW161=2,"solfiti (tracce)","")),IF(AX161=1,"lupini",IF(AX161=2,"lupini (tracce)","")),IF(AY161=1,"nichel",IF(AY161=2,"nichel (tracce)","")),IF(AZ161=1,"FODMAP",IF(AZ161=2,"FODMAP (tracce)","")))</f>
        <v/>
      </c>
      <c r="BB161" s="23" t="n">
        <f aca="false">ROUND(4*C161+4*D161+9*E161+2*N(F161),0)</f>
        <v>30</v>
      </c>
      <c r="BC161" s="23" t="s">
        <v>70</v>
      </c>
      <c r="BD161" s="23" t="s">
        <v>457</v>
      </c>
    </row>
    <row r="162" customFormat="false" ht="15" hidden="false" customHeight="false" outlineLevel="0" collapsed="false">
      <c r="A162" s="19" t="s">
        <v>458</v>
      </c>
      <c r="B162" s="20" t="n">
        <v>23</v>
      </c>
      <c r="C162" s="21" t="n">
        <v>0.7</v>
      </c>
      <c r="D162" s="21" t="n">
        <v>1.7</v>
      </c>
      <c r="E162" s="21" t="n">
        <v>0.3</v>
      </c>
      <c r="F162" s="22" t="n">
        <v>4</v>
      </c>
      <c r="G162" s="22" t="n">
        <v>0.7</v>
      </c>
      <c r="H162" s="22" t="n">
        <v>0.07</v>
      </c>
      <c r="I162" s="22" t="n">
        <v>0.01</v>
      </c>
      <c r="J162" s="22" t="n">
        <v>0.13</v>
      </c>
      <c r="K162" s="22" t="n">
        <v>0</v>
      </c>
      <c r="L162" s="22" t="n">
        <v>45</v>
      </c>
      <c r="M162" s="22" t="n">
        <v>420</v>
      </c>
      <c r="N162" s="22" t="n">
        <v>100</v>
      </c>
      <c r="O162" s="22" t="n">
        <v>47</v>
      </c>
      <c r="P162" s="22" t="n">
        <v>30</v>
      </c>
      <c r="Q162" s="22" t="n">
        <v>0.9</v>
      </c>
      <c r="R162" s="22" t="n">
        <v>0.42</v>
      </c>
      <c r="S162" s="22" t="n">
        <v>286</v>
      </c>
      <c r="T162" s="22" t="n">
        <v>24</v>
      </c>
      <c r="U162" s="22" t="n">
        <v>0</v>
      </c>
      <c r="V162" s="22" t="n">
        <v>2.26</v>
      </c>
      <c r="W162" s="22" t="n">
        <v>0.06</v>
      </c>
      <c r="X162" s="22" t="n">
        <v>0.1</v>
      </c>
      <c r="Y162" s="22" t="n">
        <v>0.5</v>
      </c>
      <c r="Z162" s="22" t="n">
        <v>0.1</v>
      </c>
      <c r="AA162" s="22" t="n">
        <v>110</v>
      </c>
      <c r="AB162" s="22" t="n">
        <v>0</v>
      </c>
      <c r="AC162" s="23" t="s">
        <v>431</v>
      </c>
      <c r="AD162" s="23" t="s">
        <v>459</v>
      </c>
      <c r="AE162" s="23" t="s">
        <v>397</v>
      </c>
      <c r="AF162" s="23" t="s">
        <v>69</v>
      </c>
      <c r="AG162" s="23"/>
      <c r="AH162" s="23"/>
      <c r="AI162" s="23"/>
      <c r="AJ162" s="13" t="n">
        <v>0</v>
      </c>
      <c r="AK162" s="13" t="n">
        <v>0</v>
      </c>
      <c r="AL162" s="13" t="n">
        <v>0</v>
      </c>
      <c r="AM162" s="13" t="n">
        <v>0</v>
      </c>
      <c r="AN162" s="13" t="n">
        <v>0</v>
      </c>
      <c r="AO162" s="13" t="n">
        <v>0</v>
      </c>
      <c r="AP162" s="13" t="n">
        <v>0</v>
      </c>
      <c r="AQ162" s="13" t="n">
        <v>0</v>
      </c>
      <c r="AR162" s="13" t="n">
        <v>0</v>
      </c>
      <c r="AS162" s="13" t="n">
        <v>0</v>
      </c>
      <c r="AT162" s="13" t="n">
        <v>0</v>
      </c>
      <c r="AU162" s="13" t="n">
        <v>0</v>
      </c>
      <c r="AV162" s="13" t="n">
        <v>0</v>
      </c>
      <c r="AW162" s="13" t="n">
        <v>0</v>
      </c>
      <c r="AX162" s="13" t="n">
        <v>0</v>
      </c>
      <c r="AY162" s="13" t="n">
        <v>0</v>
      </c>
      <c r="AZ162" s="13" t="n">
        <v>0</v>
      </c>
      <c r="BA162" s="23" t="str">
        <f aca="false">_xlfn.TEXTJOIN(", ",TRUE(),IF(AJ162=1,"glutine",IF(AJ162=2,"glutine (tracce)","")),IF(AK162=1,"latte",IF(AK162=2,"latte (tracce)","")),IF(AL162=1,"lattosio",IF(AL162=2,"lattosio (tracce)","")),IF(AM162=1,"uova",IF(AM162=2,"uova (tracce)","")),IF(AN162=1,"pesce",IF(AN162=2,"pesce (tracce)","")),IF(AO162=1,"crostacei",IF(AO162=2,"crostacei (tracce)","")),IF(AP162=1,"molluschi",IF(AP162=2,"molluschi (tracce)","")),IF(AQ162=1,"frutta a guscio",IF(AQ162=2,"frutta a guscio (tracce)","")),IF(AR162=1,"arachidi",IF(AR162=2,"arachidi (tracce)","")),IF(AS162=1,"soia",IF(AS162=2,"soia (tracce)","")),IF(AT162=1,"sesamo",IF(AT162=2,"sesamo (tracce)","")),IF(AU162=1,"sedano",IF(AU162=2,"sedano (tracce)","")),IF(AV162=1,"senape",IF(AV162=2,"senape (tracce)","")),IF(AW162=1,"solfiti",IF(AW162=2,"solfiti (tracce)","")),IF(AX162=1,"lupini",IF(AX162=2,"lupini (tracce)","")),IF(AY162=1,"nichel",IF(AY162=2,"nichel (tracce)","")),IF(AZ162=1,"FODMAP",IF(AZ162=2,"FODMAP (tracce)","")))</f>
        <v/>
      </c>
      <c r="BB162" s="23" t="n">
        <f aca="false">ROUND(4*C162+4*D162+9*E162+2*N(F162),0)</f>
        <v>20</v>
      </c>
      <c r="BC162" s="23" t="s">
        <v>70</v>
      </c>
      <c r="BD162" s="23"/>
    </row>
    <row r="163" customFormat="false" ht="15" hidden="false" customHeight="false" outlineLevel="0" collapsed="false">
      <c r="A163" s="19" t="s">
        <v>460</v>
      </c>
      <c r="B163" s="20" t="n">
        <v>22</v>
      </c>
      <c r="C163" s="21" t="n">
        <v>0.1</v>
      </c>
      <c r="D163" s="21" t="n">
        <v>3.2</v>
      </c>
      <c r="E163" s="21" t="n">
        <v>0.5</v>
      </c>
      <c r="F163" s="22" t="n">
        <v>2.7</v>
      </c>
      <c r="G163" s="22" t="n">
        <v>0.38</v>
      </c>
      <c r="H163" s="22" t="n">
        <v>0.05</v>
      </c>
      <c r="I163" s="22" t="n">
        <v>0.03</v>
      </c>
      <c r="J163" s="22" t="n">
        <v>0.22</v>
      </c>
      <c r="K163" s="22" t="n">
        <v>0</v>
      </c>
      <c r="L163" s="22" t="n">
        <v>33</v>
      </c>
      <c r="M163" s="22" t="n">
        <v>196</v>
      </c>
      <c r="N163" s="22" t="n">
        <v>108</v>
      </c>
      <c r="O163" s="22" t="n">
        <v>73</v>
      </c>
      <c r="P163" s="22" t="n">
        <v>22</v>
      </c>
      <c r="Q163" s="22" t="n">
        <v>2.14</v>
      </c>
      <c r="R163" s="22" t="n">
        <v>0.77</v>
      </c>
      <c r="S163" s="22" t="n">
        <v>131</v>
      </c>
      <c r="T163" s="22" t="n">
        <v>20.2</v>
      </c>
      <c r="U163" s="22" t="n">
        <v>0</v>
      </c>
      <c r="V163" s="22" t="n">
        <v>1.62</v>
      </c>
      <c r="W163" s="22" t="n">
        <v>0.16</v>
      </c>
      <c r="X163" s="22" t="n">
        <v>0.13</v>
      </c>
      <c r="Y163" s="22" t="n">
        <v>1.22</v>
      </c>
      <c r="Z163" s="22" t="n">
        <v>0.17</v>
      </c>
      <c r="AA163" s="22" t="n">
        <v>83</v>
      </c>
      <c r="AB163" s="22" t="n">
        <v>0</v>
      </c>
      <c r="AC163" s="23" t="s">
        <v>431</v>
      </c>
      <c r="AD163" s="23" t="s">
        <v>461</v>
      </c>
      <c r="AE163" s="23" t="s">
        <v>397</v>
      </c>
      <c r="AF163" s="23" t="s">
        <v>69</v>
      </c>
      <c r="AG163" s="23"/>
      <c r="AH163" s="23"/>
      <c r="AI163" s="23"/>
      <c r="AJ163" s="13" t="n">
        <v>0</v>
      </c>
      <c r="AK163" s="13" t="n">
        <v>0</v>
      </c>
      <c r="AL163" s="13" t="n">
        <v>0</v>
      </c>
      <c r="AM163" s="13" t="n">
        <v>0</v>
      </c>
      <c r="AN163" s="13" t="n">
        <v>0</v>
      </c>
      <c r="AO163" s="13" t="n">
        <v>0</v>
      </c>
      <c r="AP163" s="13" t="n">
        <v>0</v>
      </c>
      <c r="AQ163" s="13" t="n">
        <v>0</v>
      </c>
      <c r="AR163" s="13" t="n">
        <v>0</v>
      </c>
      <c r="AS163" s="13" t="n">
        <v>0</v>
      </c>
      <c r="AT163" s="13" t="n">
        <v>0</v>
      </c>
      <c r="AU163" s="13" t="n">
        <v>0</v>
      </c>
      <c r="AV163" s="13" t="n">
        <v>0</v>
      </c>
      <c r="AW163" s="13" t="n">
        <v>0</v>
      </c>
      <c r="AX163" s="13" t="n">
        <v>0</v>
      </c>
      <c r="AY163" s="13" t="n">
        <v>0</v>
      </c>
      <c r="AZ163" s="13" t="n">
        <v>0</v>
      </c>
      <c r="BA163" s="23" t="str">
        <f aca="false">_xlfn.TEXTJOIN(", ",TRUE(),IF(AJ163=1,"glutine",IF(AJ163=2,"glutine (tracce)","")),IF(AK163=1,"latte",IF(AK163=2,"latte (tracce)","")),IF(AL163=1,"lattosio",IF(AL163=2,"lattosio (tracce)","")),IF(AM163=1,"uova",IF(AM163=2,"uova (tracce)","")),IF(AN163=1,"pesce",IF(AN163=2,"pesce (tracce)","")),IF(AO163=1,"crostacei",IF(AO163=2,"crostacei (tracce)","")),IF(AP163=1,"molluschi",IF(AP163=2,"molluschi (tracce)","")),IF(AQ163=1,"frutta a guscio",IF(AQ163=2,"frutta a guscio (tracce)","")),IF(AR163=1,"arachidi",IF(AR163=2,"arachidi (tracce)","")),IF(AS163=1,"soia",IF(AS163=2,"soia (tracce)","")),IF(AT163=1,"sesamo",IF(AT163=2,"sesamo (tracce)","")),IF(AU163=1,"sedano",IF(AU163=2,"sedano (tracce)","")),IF(AV163=1,"senape",IF(AV163=2,"senape (tracce)","")),IF(AW163=1,"solfiti",IF(AW163=2,"solfiti (tracce)","")),IF(AX163=1,"lupini",IF(AX163=2,"lupini (tracce)","")),IF(AY163=1,"nichel",IF(AY163=2,"nichel (tracce)","")),IF(AZ163=1,"FODMAP",IF(AZ163=2,"FODMAP (tracce)","")))</f>
        <v/>
      </c>
      <c r="BB163" s="23" t="n">
        <f aca="false">ROUND(4*C163+4*D163+9*E163+2*N(F163),0)</f>
        <v>23</v>
      </c>
      <c r="BC163" s="23" t="s">
        <v>70</v>
      </c>
      <c r="BD163" s="23"/>
    </row>
    <row r="164" customFormat="false" ht="15" hidden="false" customHeight="false" outlineLevel="0" collapsed="false">
      <c r="A164" s="19" t="s">
        <v>462</v>
      </c>
      <c r="B164" s="20" t="n">
        <v>22</v>
      </c>
      <c r="C164" s="21" t="n">
        <v>2.3</v>
      </c>
      <c r="D164" s="21" t="n">
        <v>3.1</v>
      </c>
      <c r="E164" s="21" t="n">
        <v>0.3</v>
      </c>
      <c r="F164" s="22" t="n">
        <v>1</v>
      </c>
      <c r="G164" s="22" t="n">
        <v>1.98</v>
      </c>
      <c r="H164" s="22" t="n">
        <v>0.05</v>
      </c>
      <c r="I164" s="22" t="n">
        <v>0</v>
      </c>
      <c r="J164" s="22" t="n">
        <v>0.16</v>
      </c>
      <c r="K164" s="22" t="n">
        <v>0</v>
      </c>
      <c r="L164" s="22" t="n">
        <v>5</v>
      </c>
      <c r="M164" s="22" t="n">
        <v>318</v>
      </c>
      <c r="N164" s="22" t="n">
        <v>3</v>
      </c>
      <c r="O164" s="22" t="n">
        <v>86</v>
      </c>
      <c r="P164" s="22" t="n">
        <v>9</v>
      </c>
      <c r="Q164" s="22" t="n">
        <v>0.5</v>
      </c>
      <c r="R164" s="22" t="n">
        <v>0.52</v>
      </c>
      <c r="S164" s="22" t="n">
        <v>0</v>
      </c>
      <c r="T164" s="22" t="n">
        <v>2.1</v>
      </c>
      <c r="U164" s="22" t="n">
        <v>0.2</v>
      </c>
      <c r="V164" s="22" t="n">
        <v>0.01</v>
      </c>
      <c r="W164" s="22" t="n">
        <v>0.08</v>
      </c>
      <c r="X164" s="22" t="n">
        <v>0.4</v>
      </c>
      <c r="Y164" s="22" t="n">
        <v>3.61</v>
      </c>
      <c r="Z164" s="22" t="n">
        <v>0.1</v>
      </c>
      <c r="AA164" s="22" t="n">
        <v>17</v>
      </c>
      <c r="AB164" s="22" t="n">
        <v>0.04</v>
      </c>
      <c r="AC164" s="23" t="s">
        <v>431</v>
      </c>
      <c r="AD164" s="23" t="s">
        <v>463</v>
      </c>
      <c r="AE164" s="23" t="s">
        <v>397</v>
      </c>
      <c r="AF164" s="23" t="s">
        <v>69</v>
      </c>
      <c r="AG164" s="23"/>
      <c r="AH164" s="23"/>
      <c r="AI164" s="23"/>
      <c r="AJ164" s="13" t="n">
        <v>0</v>
      </c>
      <c r="AK164" s="13" t="n">
        <v>0</v>
      </c>
      <c r="AL164" s="13" t="n">
        <v>0</v>
      </c>
      <c r="AM164" s="13" t="n">
        <v>0</v>
      </c>
      <c r="AN164" s="13" t="n">
        <v>0</v>
      </c>
      <c r="AO164" s="13" t="n">
        <v>0</v>
      </c>
      <c r="AP164" s="13" t="n">
        <v>0</v>
      </c>
      <c r="AQ164" s="13" t="n">
        <v>0</v>
      </c>
      <c r="AR164" s="13" t="n">
        <v>0</v>
      </c>
      <c r="AS164" s="13" t="n">
        <v>0</v>
      </c>
      <c r="AT164" s="13" t="n">
        <v>0</v>
      </c>
      <c r="AU164" s="13" t="n">
        <v>0</v>
      </c>
      <c r="AV164" s="13" t="n">
        <v>0</v>
      </c>
      <c r="AW164" s="13" t="n">
        <v>0</v>
      </c>
      <c r="AX164" s="13" t="n">
        <v>0</v>
      </c>
      <c r="AY164" s="13" t="n">
        <v>1</v>
      </c>
      <c r="AZ164" s="13" t="n">
        <v>1</v>
      </c>
      <c r="BA164" s="23" t="str">
        <f aca="false">_xlfn.TEXTJOIN(", ",TRUE(),IF(AJ164=1,"glutine",IF(AJ164=2,"glutine (tracce)","")),IF(AK164=1,"latte",IF(AK164=2,"latte (tracce)","")),IF(AL164=1,"lattosio",IF(AL164=2,"lattosio (tracce)","")),IF(AM164=1,"uova",IF(AM164=2,"uova (tracce)","")),IF(AN164=1,"pesce",IF(AN164=2,"pesce (tracce)","")),IF(AO164=1,"crostacei",IF(AO164=2,"crostacei (tracce)","")),IF(AP164=1,"molluschi",IF(AP164=2,"molluschi (tracce)","")),IF(AQ164=1,"frutta a guscio",IF(AQ164=2,"frutta a guscio (tracce)","")),IF(AR164=1,"arachidi",IF(AR164=2,"arachidi (tracce)","")),IF(AS164=1,"soia",IF(AS164=2,"soia (tracce)","")),IF(AT164=1,"sesamo",IF(AT164=2,"sesamo (tracce)","")),IF(AU164=1,"sedano",IF(AU164=2,"sedano (tracce)","")),IF(AV164=1,"senape",IF(AV164=2,"senape (tracce)","")),IF(AW164=1,"solfiti",IF(AW164=2,"solfiti (tracce)","")),IF(AX164=1,"lupini",IF(AX164=2,"lupini (tracce)","")),IF(AY164=1,"nichel",IF(AY164=2,"nichel (tracce)","")),IF(AZ164=1,"FODMAP",IF(AZ164=2,"FODMAP (tracce)","")))</f>
        <v>nichel, FODMAP</v>
      </c>
      <c r="BB164" s="23" t="n">
        <f aca="false">ROUND(4*C164+4*D164+9*E164+2*N(F164),0)</f>
        <v>26</v>
      </c>
      <c r="BC164" s="23" t="s">
        <v>70</v>
      </c>
      <c r="BD164" s="23"/>
    </row>
    <row r="165" customFormat="false" ht="15" hidden="false" customHeight="false" outlineLevel="0" collapsed="false">
      <c r="A165" s="19" t="s">
        <v>464</v>
      </c>
      <c r="B165" s="20" t="n">
        <v>17</v>
      </c>
      <c r="C165" s="21" t="n">
        <v>0.2</v>
      </c>
      <c r="D165" s="21" t="n">
        <v>1.3</v>
      </c>
      <c r="E165" s="21" t="n">
        <v>0.2</v>
      </c>
      <c r="F165" s="22" t="n">
        <v>3.1</v>
      </c>
      <c r="G165" s="22" t="n">
        <v>0.25</v>
      </c>
      <c r="H165" s="22" t="n">
        <v>0.05</v>
      </c>
      <c r="I165" s="22" t="n">
        <v>0</v>
      </c>
      <c r="J165" s="22" t="n">
        <v>0.09</v>
      </c>
      <c r="K165" s="22" t="n">
        <v>0</v>
      </c>
      <c r="L165" s="22" t="n">
        <v>22</v>
      </c>
      <c r="M165" s="22" t="n">
        <v>314</v>
      </c>
      <c r="N165" s="22" t="n">
        <v>52</v>
      </c>
      <c r="O165" s="22" t="n">
        <v>28</v>
      </c>
      <c r="P165" s="22" t="n">
        <v>15</v>
      </c>
      <c r="Q165" s="22" t="n">
        <v>0.83</v>
      </c>
      <c r="R165" s="22" t="n">
        <v>0.79</v>
      </c>
      <c r="S165" s="22" t="n">
        <v>108</v>
      </c>
      <c r="T165" s="22" t="n">
        <v>6.5</v>
      </c>
      <c r="U165" s="22" t="n">
        <v>0</v>
      </c>
      <c r="V165" s="22" t="n">
        <v>0.44</v>
      </c>
      <c r="W165" s="22" t="n">
        <v>0.08</v>
      </c>
      <c r="X165" s="22" t="n">
        <v>0.08</v>
      </c>
      <c r="Y165" s="22" t="n">
        <v>0.4</v>
      </c>
      <c r="Z165" s="22" t="n">
        <v>0.02</v>
      </c>
      <c r="AA165" s="22" t="n">
        <v>142</v>
      </c>
      <c r="AB165" s="22" t="n">
        <v>0</v>
      </c>
      <c r="AC165" s="23" t="s">
        <v>431</v>
      </c>
      <c r="AD165" s="23" t="s">
        <v>465</v>
      </c>
      <c r="AE165" s="23" t="s">
        <v>397</v>
      </c>
      <c r="AF165" s="23" t="s">
        <v>69</v>
      </c>
      <c r="AG165" s="23"/>
      <c r="AH165" s="23"/>
      <c r="AI165" s="23"/>
      <c r="AJ165" s="13" t="n">
        <v>0</v>
      </c>
      <c r="AK165" s="13" t="n">
        <v>0</v>
      </c>
      <c r="AL165" s="13" t="n">
        <v>0</v>
      </c>
      <c r="AM165" s="13" t="n">
        <v>0</v>
      </c>
      <c r="AN165" s="13" t="n">
        <v>0</v>
      </c>
      <c r="AO165" s="13" t="n">
        <v>0</v>
      </c>
      <c r="AP165" s="13" t="n">
        <v>0</v>
      </c>
      <c r="AQ165" s="13" t="n">
        <v>0</v>
      </c>
      <c r="AR165" s="13" t="n">
        <v>0</v>
      </c>
      <c r="AS165" s="13" t="n">
        <v>0</v>
      </c>
      <c r="AT165" s="13" t="n">
        <v>0</v>
      </c>
      <c r="AU165" s="13" t="n">
        <v>0</v>
      </c>
      <c r="AV165" s="13" t="n">
        <v>0</v>
      </c>
      <c r="AW165" s="13" t="n">
        <v>0</v>
      </c>
      <c r="AX165" s="13" t="n">
        <v>0</v>
      </c>
      <c r="AY165" s="13" t="n">
        <v>0</v>
      </c>
      <c r="AZ165" s="13" t="n">
        <v>0</v>
      </c>
      <c r="BA165" s="23" t="str">
        <f aca="false">_xlfn.TEXTJOIN(", ",TRUE(),IF(AJ165=1,"glutine",IF(AJ165=2,"glutine (tracce)","")),IF(AK165=1,"latte",IF(AK165=2,"latte (tracce)","")),IF(AL165=1,"lattosio",IF(AL165=2,"lattosio (tracce)","")),IF(AM165=1,"uova",IF(AM165=2,"uova (tracce)","")),IF(AN165=1,"pesce",IF(AN165=2,"pesce (tracce)","")),IF(AO165=1,"crostacei",IF(AO165=2,"crostacei (tracce)","")),IF(AP165=1,"molluschi",IF(AP165=2,"molluschi (tracce)","")),IF(AQ165=1,"frutta a guscio",IF(AQ165=2,"frutta a guscio (tracce)","")),IF(AR165=1,"arachidi",IF(AR165=2,"arachidi (tracce)","")),IF(AS165=1,"soia",IF(AS165=2,"soia (tracce)","")),IF(AT165=1,"sesamo",IF(AT165=2,"sesamo (tracce)","")),IF(AU165=1,"sedano",IF(AU165=2,"sedano (tracce)","")),IF(AV165=1,"senape",IF(AV165=2,"senape (tracce)","")),IF(AW165=1,"solfiti",IF(AW165=2,"solfiti (tracce)","")),IF(AX165=1,"lupini",IF(AX165=2,"lupini (tracce)","")),IF(AY165=1,"nichel",IF(AY165=2,"nichel (tracce)","")),IF(AZ165=1,"FODMAP",IF(AZ165=2,"FODMAP (tracce)","")))</f>
        <v/>
      </c>
      <c r="BB165" s="23" t="n">
        <f aca="false">ROUND(4*C165+4*D165+9*E165+2*N(F165),0)</f>
        <v>14</v>
      </c>
      <c r="BC165" s="23" t="s">
        <v>70</v>
      </c>
      <c r="BD165" s="23"/>
    </row>
    <row r="166" customFormat="false" ht="15" hidden="false" customHeight="false" outlineLevel="0" collapsed="false">
      <c r="A166" s="19" t="s">
        <v>466</v>
      </c>
      <c r="B166" s="20" t="n">
        <v>28</v>
      </c>
      <c r="C166" s="21" t="n">
        <v>4.6</v>
      </c>
      <c r="D166" s="21" t="n">
        <v>0.9</v>
      </c>
      <c r="E166" s="21" t="n">
        <v>0.1</v>
      </c>
      <c r="F166" s="22" t="n">
        <v>1.8</v>
      </c>
      <c r="G166" s="22" t="n">
        <v>3.8</v>
      </c>
      <c r="H166" s="22" t="n">
        <v>0.01</v>
      </c>
      <c r="I166" s="22" t="n">
        <v>0.01</v>
      </c>
      <c r="J166" s="22" t="n">
        <v>0.05</v>
      </c>
      <c r="K166" s="22" t="n">
        <v>0</v>
      </c>
      <c r="L166" s="22" t="n">
        <v>67</v>
      </c>
      <c r="M166" s="22" t="n">
        <v>191</v>
      </c>
      <c r="N166" s="22" t="n">
        <v>30</v>
      </c>
      <c r="O166" s="22" t="n">
        <v>27</v>
      </c>
      <c r="P166" s="22" t="n">
        <v>11</v>
      </c>
      <c r="Q166" s="22" t="n">
        <v>0.3</v>
      </c>
      <c r="R166" s="22" t="n">
        <v>0.27</v>
      </c>
      <c r="S166" s="22" t="n">
        <v>0</v>
      </c>
      <c r="T166" s="22" t="n">
        <v>21</v>
      </c>
      <c r="U166" s="22" t="n">
        <v>0</v>
      </c>
      <c r="V166" s="22" t="n">
        <v>0.03</v>
      </c>
      <c r="W166" s="22" t="n">
        <v>0.04</v>
      </c>
      <c r="X166" s="22" t="n">
        <v>0.03</v>
      </c>
      <c r="Y166" s="22" t="n">
        <v>0.4</v>
      </c>
      <c r="Z166" s="22" t="n">
        <v>0.09</v>
      </c>
      <c r="AA166" s="22" t="n">
        <v>15</v>
      </c>
      <c r="AB166" s="22" t="n">
        <v>0</v>
      </c>
      <c r="AC166" s="23" t="s">
        <v>431</v>
      </c>
      <c r="AD166" s="23" t="s">
        <v>467</v>
      </c>
      <c r="AE166" s="23" t="s">
        <v>397</v>
      </c>
      <c r="AF166" s="23" t="s">
        <v>69</v>
      </c>
      <c r="AG166" s="23"/>
      <c r="AH166" s="23"/>
      <c r="AI166" s="23"/>
      <c r="AJ166" s="13" t="n">
        <v>0</v>
      </c>
      <c r="AK166" s="13" t="n">
        <v>0</v>
      </c>
      <c r="AL166" s="13" t="n">
        <v>0</v>
      </c>
      <c r="AM166" s="13" t="n">
        <v>0</v>
      </c>
      <c r="AN166" s="13" t="n">
        <v>0</v>
      </c>
      <c r="AO166" s="13" t="n">
        <v>0</v>
      </c>
      <c r="AP166" s="13" t="n">
        <v>0</v>
      </c>
      <c r="AQ166" s="13" t="n">
        <v>0</v>
      </c>
      <c r="AR166" s="13" t="n">
        <v>0</v>
      </c>
      <c r="AS166" s="13" t="n">
        <v>0</v>
      </c>
      <c r="AT166" s="13" t="n">
        <v>0</v>
      </c>
      <c r="AU166" s="13" t="n">
        <v>0</v>
      </c>
      <c r="AV166" s="13" t="n">
        <v>0</v>
      </c>
      <c r="AW166" s="13" t="n">
        <v>0</v>
      </c>
      <c r="AX166" s="13" t="n">
        <v>0</v>
      </c>
      <c r="AY166" s="13" t="n">
        <v>0</v>
      </c>
      <c r="AZ166" s="13" t="n">
        <v>0</v>
      </c>
      <c r="BA166" s="23" t="str">
        <f aca="false">_xlfn.TEXTJOIN(", ",TRUE(),IF(AJ166=1,"glutine",IF(AJ166=2,"glutine (tracce)","")),IF(AK166=1,"latte",IF(AK166=2,"latte (tracce)","")),IF(AL166=1,"lattosio",IF(AL166=2,"lattosio (tracce)","")),IF(AM166=1,"uova",IF(AM166=2,"uova (tracce)","")),IF(AN166=1,"pesce",IF(AN166=2,"pesce (tracce)","")),IF(AO166=1,"crostacei",IF(AO166=2,"crostacei (tracce)","")),IF(AP166=1,"molluschi",IF(AP166=2,"molluschi (tracce)","")),IF(AQ166=1,"frutta a guscio",IF(AQ166=2,"frutta a guscio (tracce)","")),IF(AR166=1,"arachidi",IF(AR166=2,"arachidi (tracce)","")),IF(AS166=1,"soia",IF(AS166=2,"soia (tracce)","")),IF(AT166=1,"sesamo",IF(AT166=2,"sesamo (tracce)","")),IF(AU166=1,"sedano",IF(AU166=2,"sedano (tracce)","")),IF(AV166=1,"senape",IF(AV166=2,"senape (tracce)","")),IF(AW166=1,"solfiti",IF(AW166=2,"solfiti (tracce)","")),IF(AX166=1,"lupini",IF(AX166=2,"lupini (tracce)","")),IF(AY166=1,"nichel",IF(AY166=2,"nichel (tracce)","")),IF(AZ166=1,"FODMAP",IF(AZ166=2,"FODMAP (tracce)","")))</f>
        <v/>
      </c>
      <c r="BB166" s="23" t="n">
        <f aca="false">ROUND(4*C166+4*D166+9*E166+2*N(F166),0)</f>
        <v>27</v>
      </c>
      <c r="BC166" s="23" t="s">
        <v>70</v>
      </c>
      <c r="BD166" s="23"/>
    </row>
    <row r="167" customFormat="false" ht="15" hidden="false" customHeight="false" outlineLevel="0" collapsed="false">
      <c r="A167" s="19" t="s">
        <v>468</v>
      </c>
      <c r="B167" s="20" t="n">
        <v>20</v>
      </c>
      <c r="C167" s="21" t="n">
        <v>1.8</v>
      </c>
      <c r="D167" s="21" t="n">
        <v>2.2</v>
      </c>
      <c r="E167" s="21" t="n">
        <v>0.1</v>
      </c>
      <c r="F167" s="22" t="n">
        <v>2.1</v>
      </c>
      <c r="G167" s="22" t="n">
        <v>1.88</v>
      </c>
      <c r="H167" s="22" t="n">
        <v>0.04</v>
      </c>
      <c r="I167" s="22" t="n">
        <v>0</v>
      </c>
      <c r="J167" s="22" t="n">
        <v>0.05</v>
      </c>
      <c r="K167" s="22" t="n">
        <v>0</v>
      </c>
      <c r="L167" s="22" t="n">
        <v>2</v>
      </c>
      <c r="M167" s="22" t="n">
        <v>202</v>
      </c>
      <c r="N167" s="22" t="n">
        <v>24</v>
      </c>
      <c r="O167" s="22" t="n">
        <v>52</v>
      </c>
      <c r="P167" s="22" t="n">
        <v>14</v>
      </c>
      <c r="Q167" s="22" t="n">
        <v>2.14</v>
      </c>
      <c r="R167" s="22" t="n">
        <v>0.54</v>
      </c>
      <c r="S167" s="22" t="n">
        <v>38</v>
      </c>
      <c r="T167" s="22" t="n">
        <v>5.6</v>
      </c>
      <c r="U167" s="22" t="n">
        <v>0</v>
      </c>
      <c r="V167" s="22" t="n">
        <v>1.13</v>
      </c>
      <c r="W167" s="22" t="n">
        <v>0.14</v>
      </c>
      <c r="X167" s="22" t="n">
        <v>0.14</v>
      </c>
      <c r="Y167" s="22" t="n">
        <v>0.98</v>
      </c>
      <c r="Z167" s="22" t="n">
        <v>0.09</v>
      </c>
      <c r="AA167" s="22" t="n">
        <v>52</v>
      </c>
      <c r="AB167" s="22" t="n">
        <v>0</v>
      </c>
      <c r="AC167" s="23" t="s">
        <v>431</v>
      </c>
      <c r="AD167" s="23" t="s">
        <v>469</v>
      </c>
      <c r="AE167" s="23" t="s">
        <v>397</v>
      </c>
      <c r="AF167" s="23" t="s">
        <v>69</v>
      </c>
      <c r="AG167" s="23"/>
      <c r="AH167" s="23"/>
      <c r="AI167" s="23"/>
      <c r="AJ167" s="13" t="n">
        <v>0</v>
      </c>
      <c r="AK167" s="13" t="n">
        <v>0</v>
      </c>
      <c r="AL167" s="13" t="n">
        <v>0</v>
      </c>
      <c r="AM167" s="13" t="n">
        <v>0</v>
      </c>
      <c r="AN167" s="13" t="n">
        <v>0</v>
      </c>
      <c r="AO167" s="13" t="n">
        <v>0</v>
      </c>
      <c r="AP167" s="13" t="n">
        <v>0</v>
      </c>
      <c r="AQ167" s="13" t="n">
        <v>0</v>
      </c>
      <c r="AR167" s="13" t="n">
        <v>0</v>
      </c>
      <c r="AS167" s="13" t="n">
        <v>0</v>
      </c>
      <c r="AT167" s="13" t="n">
        <v>0</v>
      </c>
      <c r="AU167" s="13" t="n">
        <v>0</v>
      </c>
      <c r="AV167" s="13" t="n">
        <v>0</v>
      </c>
      <c r="AW167" s="13" t="n">
        <v>0</v>
      </c>
      <c r="AX167" s="13" t="n">
        <v>0</v>
      </c>
      <c r="AY167" s="13" t="n">
        <v>1</v>
      </c>
      <c r="AZ167" s="13" t="n">
        <v>1</v>
      </c>
      <c r="BA167" s="23" t="str">
        <f aca="false">_xlfn.TEXTJOIN(", ",TRUE(),IF(AJ167=1,"glutine",IF(AJ167=2,"glutine (tracce)","")),IF(AK167=1,"latte",IF(AK167=2,"latte (tracce)","")),IF(AL167=1,"lattosio",IF(AL167=2,"lattosio (tracce)","")),IF(AM167=1,"uova",IF(AM167=2,"uova (tracce)","")),IF(AN167=1,"pesce",IF(AN167=2,"pesce (tracce)","")),IF(AO167=1,"crostacei",IF(AO167=2,"crostacei (tracce)","")),IF(AP167=1,"molluschi",IF(AP167=2,"molluschi (tracce)","")),IF(AQ167=1,"frutta a guscio",IF(AQ167=2,"frutta a guscio (tracce)","")),IF(AR167=1,"arachidi",IF(AR167=2,"arachidi (tracce)","")),IF(AS167=1,"soia",IF(AS167=2,"soia (tracce)","")),IF(AT167=1,"sesamo",IF(AT167=2,"sesamo (tracce)","")),IF(AU167=1,"sedano",IF(AU167=2,"sedano (tracce)","")),IF(AV167=1,"senape",IF(AV167=2,"senape (tracce)","")),IF(AW167=1,"solfiti",IF(AW167=2,"solfiti (tracce)","")),IF(AX167=1,"lupini",IF(AX167=2,"lupini (tracce)","")),IF(AY167=1,"nichel",IF(AY167=2,"nichel (tracce)","")),IF(AZ167=1,"FODMAP",IF(AZ167=2,"FODMAP (tracce)","")))</f>
        <v>nichel, FODMAP</v>
      </c>
      <c r="BB167" s="23" t="n">
        <f aca="false">ROUND(4*C167+4*D167+9*E167+2*N(F167),0)</f>
        <v>21</v>
      </c>
      <c r="BC167" s="23" t="s">
        <v>70</v>
      </c>
      <c r="BD167" s="23"/>
    </row>
    <row r="168" customFormat="false" ht="15" hidden="false" customHeight="false" outlineLevel="0" collapsed="false">
      <c r="A168" s="19" t="s">
        <v>470</v>
      </c>
      <c r="B168" s="20" t="n">
        <v>43</v>
      </c>
      <c r="C168" s="21" t="n">
        <v>5.2</v>
      </c>
      <c r="D168" s="21" t="n">
        <v>3.4</v>
      </c>
      <c r="E168" s="21" t="n">
        <v>0.3</v>
      </c>
      <c r="F168" s="22" t="n">
        <v>3.8</v>
      </c>
      <c r="G168" s="22" t="n">
        <v>2.2</v>
      </c>
      <c r="H168" s="22" t="n">
        <v>0.06</v>
      </c>
      <c r="I168" s="22" t="n">
        <v>0.02</v>
      </c>
      <c r="J168" s="22" t="n">
        <v>0.15</v>
      </c>
      <c r="K168" s="22" t="n">
        <v>0</v>
      </c>
      <c r="L168" s="22" t="n">
        <v>25</v>
      </c>
      <c r="M168" s="22" t="n">
        <v>389</v>
      </c>
      <c r="N168" s="22" t="n">
        <v>42</v>
      </c>
      <c r="O168" s="22" t="n">
        <v>69</v>
      </c>
      <c r="P168" s="22" t="n">
        <v>23</v>
      </c>
      <c r="Q168" s="22" t="n">
        <v>1.4</v>
      </c>
      <c r="R168" s="22" t="n">
        <v>0.42</v>
      </c>
      <c r="S168" s="22" t="n">
        <v>38</v>
      </c>
      <c r="T168" s="22" t="n">
        <v>85</v>
      </c>
      <c r="U168" s="22" t="n">
        <v>0</v>
      </c>
      <c r="V168" s="22" t="n">
        <v>0.88</v>
      </c>
      <c r="W168" s="22" t="n">
        <v>0.14</v>
      </c>
      <c r="X168" s="22" t="n">
        <v>0.09</v>
      </c>
      <c r="Y168" s="22" t="n">
        <v>0.75</v>
      </c>
      <c r="Z168" s="22" t="n">
        <v>0.22</v>
      </c>
      <c r="AA168" s="22" t="n">
        <v>61</v>
      </c>
      <c r="AB168" s="22" t="n">
        <v>0</v>
      </c>
      <c r="AC168" s="23" t="s">
        <v>431</v>
      </c>
      <c r="AD168" s="23" t="s">
        <v>471</v>
      </c>
      <c r="AE168" s="23" t="s">
        <v>397</v>
      </c>
      <c r="AF168" s="23" t="s">
        <v>69</v>
      </c>
      <c r="AG168" s="23"/>
      <c r="AH168" s="23"/>
      <c r="AI168" s="23"/>
      <c r="AJ168" s="13" t="n">
        <v>0</v>
      </c>
      <c r="AK168" s="13" t="n">
        <v>0</v>
      </c>
      <c r="AL168" s="13" t="n">
        <v>0</v>
      </c>
      <c r="AM168" s="13" t="n">
        <v>0</v>
      </c>
      <c r="AN168" s="13" t="n">
        <v>0</v>
      </c>
      <c r="AO168" s="13" t="n">
        <v>0</v>
      </c>
      <c r="AP168" s="13" t="n">
        <v>0</v>
      </c>
      <c r="AQ168" s="13" t="n">
        <v>0</v>
      </c>
      <c r="AR168" s="13" t="n">
        <v>0</v>
      </c>
      <c r="AS168" s="13" t="n">
        <v>0</v>
      </c>
      <c r="AT168" s="13" t="n">
        <v>0</v>
      </c>
      <c r="AU168" s="13" t="n">
        <v>0</v>
      </c>
      <c r="AV168" s="13" t="n">
        <v>0</v>
      </c>
      <c r="AW168" s="13" t="n">
        <v>0</v>
      </c>
      <c r="AX168" s="13" t="n">
        <v>0</v>
      </c>
      <c r="AY168" s="13" t="n">
        <v>1</v>
      </c>
      <c r="AZ168" s="13" t="n">
        <v>1</v>
      </c>
      <c r="BA168" s="23" t="str">
        <f aca="false">_xlfn.TEXTJOIN(", ",TRUE(),IF(AJ168=1,"glutine",IF(AJ168=2,"glutine (tracce)","")),IF(AK168=1,"latte",IF(AK168=2,"latte (tracce)","")),IF(AL168=1,"lattosio",IF(AL168=2,"lattosio (tracce)","")),IF(AM168=1,"uova",IF(AM168=2,"uova (tracce)","")),IF(AN168=1,"pesce",IF(AN168=2,"pesce (tracce)","")),IF(AO168=1,"crostacei",IF(AO168=2,"crostacei (tracce)","")),IF(AP168=1,"molluschi",IF(AP168=2,"molluschi (tracce)","")),IF(AQ168=1,"frutta a guscio",IF(AQ168=2,"frutta a guscio (tracce)","")),IF(AR168=1,"arachidi",IF(AR168=2,"arachidi (tracce)","")),IF(AS168=1,"soia",IF(AS168=2,"soia (tracce)","")),IF(AT168=1,"sesamo",IF(AT168=2,"sesamo (tracce)","")),IF(AU168=1,"sedano",IF(AU168=2,"sedano (tracce)","")),IF(AV168=1,"senape",IF(AV168=2,"senape (tracce)","")),IF(AW168=1,"solfiti",IF(AW168=2,"solfiti (tracce)","")),IF(AX168=1,"lupini",IF(AX168=2,"lupini (tracce)","")),IF(AY168=1,"nichel",IF(AY168=2,"nichel (tracce)","")),IF(AZ168=1,"FODMAP",IF(AZ168=2,"FODMAP (tracce)","")))</f>
        <v>nichel, FODMAP</v>
      </c>
      <c r="BB168" s="23" t="n">
        <f aca="false">ROUND(4*C168+4*D168+9*E168+2*N(F168),0)</f>
        <v>45</v>
      </c>
      <c r="BC168" s="23" t="s">
        <v>70</v>
      </c>
      <c r="BD168" s="23"/>
    </row>
    <row r="169" customFormat="false" ht="15" hidden="false" customHeight="false" outlineLevel="0" collapsed="false">
      <c r="A169" s="19" t="s">
        <v>472</v>
      </c>
      <c r="B169" s="20" t="n">
        <v>25</v>
      </c>
      <c r="C169" s="21" t="n">
        <v>3</v>
      </c>
      <c r="D169" s="21" t="n">
        <v>1.9</v>
      </c>
      <c r="E169" s="21" t="n">
        <v>0.3</v>
      </c>
      <c r="F169" s="22" t="n">
        <v>2</v>
      </c>
      <c r="G169" s="22" t="n">
        <v>1.91</v>
      </c>
      <c r="H169" s="22" t="n">
        <v>0.13</v>
      </c>
      <c r="I169" s="22" t="n">
        <v>0.03</v>
      </c>
      <c r="J169" s="22" t="n">
        <v>0.03</v>
      </c>
      <c r="K169" s="22" t="n">
        <v>0</v>
      </c>
      <c r="L169" s="22" t="n">
        <v>30</v>
      </c>
      <c r="M169" s="22" t="n">
        <v>299</v>
      </c>
      <c r="N169" s="22" t="n">
        <v>22</v>
      </c>
      <c r="O169" s="22" t="n">
        <v>44</v>
      </c>
      <c r="P169" s="22" t="n">
        <v>15</v>
      </c>
      <c r="Q169" s="22" t="n">
        <v>0.42</v>
      </c>
      <c r="R169" s="22" t="n">
        <v>0.27</v>
      </c>
      <c r="S169" s="22" t="n">
        <v>0</v>
      </c>
      <c r="T169" s="22" t="n">
        <v>48.2</v>
      </c>
      <c r="U169" s="22" t="n">
        <v>0</v>
      </c>
      <c r="V169" s="22" t="n">
        <v>0.08</v>
      </c>
      <c r="W169" s="22" t="n">
        <v>0.05</v>
      </c>
      <c r="X169" s="22" t="n">
        <v>0.06</v>
      </c>
      <c r="Y169" s="22" t="n">
        <v>0.51</v>
      </c>
      <c r="Z169" s="22" t="n">
        <v>0.18</v>
      </c>
      <c r="AA169" s="22" t="n">
        <v>57</v>
      </c>
      <c r="AB169" s="22" t="n">
        <v>0</v>
      </c>
      <c r="AC169" s="23" t="s">
        <v>431</v>
      </c>
      <c r="AD169" s="23" t="s">
        <v>473</v>
      </c>
      <c r="AE169" s="23" t="s">
        <v>397</v>
      </c>
      <c r="AF169" s="23" t="s">
        <v>69</v>
      </c>
      <c r="AG169" s="23"/>
      <c r="AH169" s="23"/>
      <c r="AI169" s="23"/>
      <c r="AJ169" s="13" t="n">
        <v>0</v>
      </c>
      <c r="AK169" s="13" t="n">
        <v>0</v>
      </c>
      <c r="AL169" s="13" t="n">
        <v>0</v>
      </c>
      <c r="AM169" s="13" t="n">
        <v>0</v>
      </c>
      <c r="AN169" s="13" t="n">
        <v>0</v>
      </c>
      <c r="AO169" s="13" t="n">
        <v>0</v>
      </c>
      <c r="AP169" s="13" t="n">
        <v>0</v>
      </c>
      <c r="AQ169" s="13" t="n">
        <v>0</v>
      </c>
      <c r="AR169" s="13" t="n">
        <v>0</v>
      </c>
      <c r="AS169" s="13" t="n">
        <v>0</v>
      </c>
      <c r="AT169" s="13" t="n">
        <v>0</v>
      </c>
      <c r="AU169" s="13" t="n">
        <v>0</v>
      </c>
      <c r="AV169" s="13" t="n">
        <v>0</v>
      </c>
      <c r="AW169" s="13" t="n">
        <v>0</v>
      </c>
      <c r="AX169" s="13" t="n">
        <v>0</v>
      </c>
      <c r="AY169" s="13" t="n">
        <v>1</v>
      </c>
      <c r="AZ169" s="13" t="n">
        <v>1</v>
      </c>
      <c r="BA169" s="23" t="str">
        <f aca="false">_xlfn.TEXTJOIN(", ",TRUE(),IF(AJ169=1,"glutine",IF(AJ169=2,"glutine (tracce)","")),IF(AK169=1,"latte",IF(AK169=2,"latte (tracce)","")),IF(AL169=1,"lattosio",IF(AL169=2,"lattosio (tracce)","")),IF(AM169=1,"uova",IF(AM169=2,"uova (tracce)","")),IF(AN169=1,"pesce",IF(AN169=2,"pesce (tracce)","")),IF(AO169=1,"crostacei",IF(AO169=2,"crostacei (tracce)","")),IF(AP169=1,"molluschi",IF(AP169=2,"molluschi (tracce)","")),IF(AQ169=1,"frutta a guscio",IF(AQ169=2,"frutta a guscio (tracce)","")),IF(AR169=1,"arachidi",IF(AR169=2,"arachidi (tracce)","")),IF(AS169=1,"soia",IF(AS169=2,"soia (tracce)","")),IF(AT169=1,"sesamo",IF(AT169=2,"sesamo (tracce)","")),IF(AU169=1,"sedano",IF(AU169=2,"sedano (tracce)","")),IF(AV169=1,"senape",IF(AV169=2,"senape (tracce)","")),IF(AW169=1,"solfiti",IF(AW169=2,"solfiti (tracce)","")),IF(AX169=1,"lupini",IF(AX169=2,"lupini (tracce)","")),IF(AY169=1,"nichel",IF(AY169=2,"nichel (tracce)","")),IF(AZ169=1,"FODMAP",IF(AZ169=2,"FODMAP (tracce)","")))</f>
        <v>nichel, FODMAP</v>
      </c>
      <c r="BB169" s="23" t="n">
        <f aca="false">ROUND(4*C169+4*D169+9*E169+2*N(F169),0)</f>
        <v>26</v>
      </c>
      <c r="BC169" s="23" t="s">
        <v>70</v>
      </c>
      <c r="BD169" s="23"/>
    </row>
    <row r="170" customFormat="false" ht="15" hidden="false" customHeight="false" outlineLevel="0" collapsed="false">
      <c r="A170" s="19" t="s">
        <v>474</v>
      </c>
      <c r="B170" s="20" t="n">
        <v>34</v>
      </c>
      <c r="C170" s="21" t="n">
        <v>4</v>
      </c>
      <c r="D170" s="21" t="n">
        <v>2.8</v>
      </c>
      <c r="E170" s="21" t="n">
        <v>0.4</v>
      </c>
      <c r="F170" s="22" t="n">
        <v>2.6</v>
      </c>
      <c r="G170" s="22" t="n">
        <v>1.7</v>
      </c>
      <c r="H170" s="22" t="n">
        <v>0.04</v>
      </c>
      <c r="I170" s="22" t="n">
        <v>0.01</v>
      </c>
      <c r="J170" s="22" t="n">
        <v>0.04</v>
      </c>
      <c r="K170" s="22" t="n">
        <v>0</v>
      </c>
      <c r="L170" s="22" t="n">
        <v>33</v>
      </c>
      <c r="M170" s="22" t="n">
        <v>316</v>
      </c>
      <c r="N170" s="22" t="n">
        <v>47</v>
      </c>
      <c r="O170" s="22" t="n">
        <v>66</v>
      </c>
      <c r="P170" s="22" t="n">
        <v>21</v>
      </c>
      <c r="Q170" s="22" t="n">
        <v>0.73</v>
      </c>
      <c r="R170" s="22" t="n">
        <v>0.41</v>
      </c>
      <c r="S170" s="22" t="n">
        <v>31</v>
      </c>
      <c r="T170" s="22" t="n">
        <v>89.2</v>
      </c>
      <c r="U170" s="22" t="n">
        <v>0</v>
      </c>
      <c r="V170" s="22" t="n">
        <v>0.78</v>
      </c>
      <c r="W170" s="22" t="n">
        <v>0.07</v>
      </c>
      <c r="X170" s="22" t="n">
        <v>0.12</v>
      </c>
      <c r="Y170" s="22" t="n">
        <v>0.64</v>
      </c>
      <c r="Z170" s="22" t="n">
        <v>0.18</v>
      </c>
      <c r="AA170" s="22" t="n">
        <v>63</v>
      </c>
      <c r="AB170" s="22" t="n">
        <v>0</v>
      </c>
      <c r="AC170" s="23" t="s">
        <v>431</v>
      </c>
      <c r="AD170" s="23" t="s">
        <v>475</v>
      </c>
      <c r="AE170" s="23" t="s">
        <v>397</v>
      </c>
      <c r="AF170" s="23" t="s">
        <v>69</v>
      </c>
      <c r="AG170" s="23"/>
      <c r="AH170" s="23"/>
      <c r="AI170" s="23"/>
      <c r="AJ170" s="13" t="n">
        <v>0</v>
      </c>
      <c r="AK170" s="13" t="n">
        <v>0</v>
      </c>
      <c r="AL170" s="13" t="n">
        <v>0</v>
      </c>
      <c r="AM170" s="13" t="n">
        <v>0</v>
      </c>
      <c r="AN170" s="13" t="n">
        <v>0</v>
      </c>
      <c r="AO170" s="13" t="n">
        <v>0</v>
      </c>
      <c r="AP170" s="13" t="n">
        <v>0</v>
      </c>
      <c r="AQ170" s="13" t="n">
        <v>0</v>
      </c>
      <c r="AR170" s="13" t="n">
        <v>0</v>
      </c>
      <c r="AS170" s="13" t="n">
        <v>0</v>
      </c>
      <c r="AT170" s="13" t="n">
        <v>0</v>
      </c>
      <c r="AU170" s="13" t="n">
        <v>0</v>
      </c>
      <c r="AV170" s="13" t="n">
        <v>0</v>
      </c>
      <c r="AW170" s="13" t="n">
        <v>0</v>
      </c>
      <c r="AX170" s="13" t="n">
        <v>0</v>
      </c>
      <c r="AY170" s="13" t="n">
        <v>1</v>
      </c>
      <c r="AZ170" s="13" t="n">
        <v>1</v>
      </c>
      <c r="BA170" s="23" t="str">
        <f aca="false">_xlfn.TEXTJOIN(", ",TRUE(),IF(AJ170=1,"glutine",IF(AJ170=2,"glutine (tracce)","")),IF(AK170=1,"latte",IF(AK170=2,"latte (tracce)","")),IF(AL170=1,"lattosio",IF(AL170=2,"lattosio (tracce)","")),IF(AM170=1,"uova",IF(AM170=2,"uova (tracce)","")),IF(AN170=1,"pesce",IF(AN170=2,"pesce (tracce)","")),IF(AO170=1,"crostacei",IF(AO170=2,"crostacei (tracce)","")),IF(AP170=1,"molluschi",IF(AP170=2,"molluschi (tracce)","")),IF(AQ170=1,"frutta a guscio",IF(AQ170=2,"frutta a guscio (tracce)","")),IF(AR170=1,"arachidi",IF(AR170=2,"arachidi (tracce)","")),IF(AS170=1,"soia",IF(AS170=2,"soia (tracce)","")),IF(AT170=1,"sesamo",IF(AT170=2,"sesamo (tracce)","")),IF(AU170=1,"sedano",IF(AU170=2,"sedano (tracce)","")),IF(AV170=1,"senape",IF(AV170=2,"senape (tracce)","")),IF(AW170=1,"solfiti",IF(AW170=2,"solfiti (tracce)","")),IF(AX170=1,"lupini",IF(AX170=2,"lupini (tracce)","")),IF(AY170=1,"nichel",IF(AY170=2,"nichel (tracce)","")),IF(AZ170=1,"FODMAP",IF(AZ170=2,"FODMAP (tracce)","")))</f>
        <v>nichel, FODMAP</v>
      </c>
      <c r="BB170" s="23" t="n">
        <f aca="false">ROUND(4*C170+4*D170+9*E170+2*N(F170),0)</f>
        <v>36</v>
      </c>
      <c r="BC170" s="23" t="s">
        <v>70</v>
      </c>
      <c r="BD170" s="23"/>
    </row>
    <row r="171" customFormat="false" ht="15" hidden="false" customHeight="false" outlineLevel="0" collapsed="false">
      <c r="A171" s="19" t="s">
        <v>476</v>
      </c>
      <c r="B171" s="20" t="n">
        <v>27</v>
      </c>
      <c r="C171" s="21" t="n">
        <v>3</v>
      </c>
      <c r="D171" s="21" t="n">
        <v>2</v>
      </c>
      <c r="E171" s="21" t="n">
        <v>0.1</v>
      </c>
      <c r="F171" s="22" t="n">
        <v>3.1</v>
      </c>
      <c r="G171" s="22" t="n">
        <v>2.27</v>
      </c>
      <c r="H171" s="22" t="n">
        <v>0.01</v>
      </c>
      <c r="I171" s="22" t="n">
        <v>0.01</v>
      </c>
      <c r="J171" s="22" t="n">
        <v>0.05</v>
      </c>
      <c r="K171" s="22" t="n">
        <v>0</v>
      </c>
      <c r="L171" s="22" t="n">
        <v>28</v>
      </c>
      <c r="M171" s="22" t="n">
        <v>230</v>
      </c>
      <c r="N171" s="22" t="n">
        <v>35</v>
      </c>
      <c r="O171" s="22" t="n">
        <v>42</v>
      </c>
      <c r="P171" s="22" t="n">
        <v>28</v>
      </c>
      <c r="Q171" s="22" t="n">
        <v>0.4</v>
      </c>
      <c r="R171" s="22" t="n">
        <v>0.27</v>
      </c>
      <c r="S171" s="22" t="n">
        <v>50</v>
      </c>
      <c r="T171" s="22" t="n">
        <v>31</v>
      </c>
      <c r="U171" s="22" t="n">
        <v>0</v>
      </c>
      <c r="V171" s="22" t="n">
        <v>0.17</v>
      </c>
      <c r="W171" s="22" t="n">
        <v>0.07</v>
      </c>
      <c r="X171" s="22" t="n">
        <v>0.03</v>
      </c>
      <c r="Y171" s="22" t="n">
        <v>0.3</v>
      </c>
      <c r="Z171" s="22" t="n">
        <v>0.19</v>
      </c>
      <c r="AA171" s="22" t="n">
        <v>80</v>
      </c>
      <c r="AB171" s="22" t="n">
        <v>0</v>
      </c>
      <c r="AC171" s="23" t="s">
        <v>431</v>
      </c>
      <c r="AD171" s="23" t="s">
        <v>477</v>
      </c>
      <c r="AE171" s="23" t="s">
        <v>397</v>
      </c>
      <c r="AF171" s="23" t="s">
        <v>69</v>
      </c>
      <c r="AG171" s="23"/>
      <c r="AH171" s="23"/>
      <c r="AI171" s="23"/>
      <c r="AJ171" s="13" t="n">
        <v>0</v>
      </c>
      <c r="AK171" s="13" t="n">
        <v>0</v>
      </c>
      <c r="AL171" s="13" t="n">
        <v>0</v>
      </c>
      <c r="AM171" s="13" t="n">
        <v>0</v>
      </c>
      <c r="AN171" s="13" t="n">
        <v>0</v>
      </c>
      <c r="AO171" s="13" t="n">
        <v>0</v>
      </c>
      <c r="AP171" s="13" t="n">
        <v>0</v>
      </c>
      <c r="AQ171" s="13" t="n">
        <v>0</v>
      </c>
      <c r="AR171" s="13" t="n">
        <v>0</v>
      </c>
      <c r="AS171" s="13" t="n">
        <v>0</v>
      </c>
      <c r="AT171" s="13" t="n">
        <v>0</v>
      </c>
      <c r="AU171" s="13" t="n">
        <v>0</v>
      </c>
      <c r="AV171" s="13" t="n">
        <v>0</v>
      </c>
      <c r="AW171" s="13" t="n">
        <v>0</v>
      </c>
      <c r="AX171" s="13" t="n">
        <v>0</v>
      </c>
      <c r="AY171" s="13" t="n">
        <v>1</v>
      </c>
      <c r="AZ171" s="13" t="n">
        <v>1</v>
      </c>
      <c r="BA171" s="23" t="str">
        <f aca="false">_xlfn.TEXTJOIN(", ",TRUE(),IF(AJ171=1,"glutine",IF(AJ171=2,"glutine (tracce)","")),IF(AK171=1,"latte",IF(AK171=2,"latte (tracce)","")),IF(AL171=1,"lattosio",IF(AL171=2,"lattosio (tracce)","")),IF(AM171=1,"uova",IF(AM171=2,"uova (tracce)","")),IF(AN171=1,"pesce",IF(AN171=2,"pesce (tracce)","")),IF(AO171=1,"crostacei",IF(AO171=2,"crostacei (tracce)","")),IF(AP171=1,"molluschi",IF(AP171=2,"molluschi (tracce)","")),IF(AQ171=1,"frutta a guscio",IF(AQ171=2,"frutta a guscio (tracce)","")),IF(AR171=1,"arachidi",IF(AR171=2,"arachidi (tracce)","")),IF(AS171=1,"soia",IF(AS171=2,"soia (tracce)","")),IF(AT171=1,"sesamo",IF(AT171=2,"sesamo (tracce)","")),IF(AU171=1,"sedano",IF(AU171=2,"sedano (tracce)","")),IF(AV171=1,"senape",IF(AV171=2,"senape (tracce)","")),IF(AW171=1,"solfiti",IF(AW171=2,"solfiti (tracce)","")),IF(AX171=1,"lupini",IF(AX171=2,"lupini (tracce)","")),IF(AY171=1,"nichel",IF(AY171=2,"nichel (tracce)","")),IF(AZ171=1,"FODMAP",IF(AZ171=2,"FODMAP (tracce)","")))</f>
        <v>nichel, FODMAP</v>
      </c>
      <c r="BB171" s="23" t="n">
        <f aca="false">ROUND(4*C171+4*D171+9*E171+2*N(F171),0)</f>
        <v>27</v>
      </c>
      <c r="BC171" s="23" t="s">
        <v>70</v>
      </c>
      <c r="BD171" s="23"/>
    </row>
    <row r="172" customFormat="false" ht="15" hidden="false" customHeight="false" outlineLevel="0" collapsed="false">
      <c r="A172" s="19" t="s">
        <v>478</v>
      </c>
      <c r="B172" s="20" t="n">
        <v>49</v>
      </c>
      <c r="C172" s="21" t="n">
        <v>5.2</v>
      </c>
      <c r="D172" s="21" t="n">
        <v>4.3</v>
      </c>
      <c r="E172" s="21" t="n">
        <v>0.9</v>
      </c>
      <c r="F172" s="22" t="n">
        <v>3.6</v>
      </c>
      <c r="G172" s="22" t="n">
        <v>2.26</v>
      </c>
      <c r="H172" s="22" t="n">
        <v>0.09</v>
      </c>
      <c r="I172" s="22" t="n">
        <v>0.05</v>
      </c>
      <c r="J172" s="22" t="n">
        <v>0.34</v>
      </c>
      <c r="K172" s="22" t="n">
        <v>0</v>
      </c>
      <c r="L172" s="22" t="n">
        <v>38</v>
      </c>
      <c r="M172" s="22" t="n">
        <v>491</v>
      </c>
      <c r="N172" s="22" t="n">
        <v>150</v>
      </c>
      <c r="O172" s="22" t="n">
        <v>92</v>
      </c>
      <c r="P172" s="22" t="n">
        <v>47</v>
      </c>
      <c r="Q172" s="22" t="n">
        <v>1.47</v>
      </c>
      <c r="R172" s="22" t="n">
        <v>0.56</v>
      </c>
      <c r="S172" s="22" t="n">
        <v>500</v>
      </c>
      <c r="T172" s="22" t="n">
        <v>120</v>
      </c>
      <c r="U172" s="22" t="n">
        <v>0</v>
      </c>
      <c r="V172" s="22" t="n">
        <v>1.54</v>
      </c>
      <c r="W172" s="22" t="n">
        <v>0.11</v>
      </c>
      <c r="X172" s="22" t="n">
        <v>0.13</v>
      </c>
      <c r="Y172" s="22" t="n">
        <v>1</v>
      </c>
      <c r="Z172" s="22" t="n">
        <v>0.27</v>
      </c>
      <c r="AA172" s="22" t="n">
        <v>141</v>
      </c>
      <c r="AB172" s="22" t="n">
        <v>0</v>
      </c>
      <c r="AC172" s="23" t="s">
        <v>431</v>
      </c>
      <c r="AD172" s="23" t="s">
        <v>479</v>
      </c>
      <c r="AE172" s="23" t="s">
        <v>397</v>
      </c>
      <c r="AF172" s="23" t="s">
        <v>69</v>
      </c>
      <c r="AG172" s="23"/>
      <c r="AH172" s="23"/>
      <c r="AI172" s="23"/>
      <c r="AJ172" s="13" t="n">
        <v>0</v>
      </c>
      <c r="AK172" s="13" t="n">
        <v>0</v>
      </c>
      <c r="AL172" s="13" t="n">
        <v>0</v>
      </c>
      <c r="AM172" s="13" t="n">
        <v>0</v>
      </c>
      <c r="AN172" s="13" t="n">
        <v>0</v>
      </c>
      <c r="AO172" s="13" t="n">
        <v>0</v>
      </c>
      <c r="AP172" s="13" t="n">
        <v>0</v>
      </c>
      <c r="AQ172" s="13" t="n">
        <v>0</v>
      </c>
      <c r="AR172" s="13" t="n">
        <v>0</v>
      </c>
      <c r="AS172" s="13" t="n">
        <v>0</v>
      </c>
      <c r="AT172" s="13" t="n">
        <v>0</v>
      </c>
      <c r="AU172" s="13" t="n">
        <v>0</v>
      </c>
      <c r="AV172" s="13" t="n">
        <v>0</v>
      </c>
      <c r="AW172" s="13" t="n">
        <v>0</v>
      </c>
      <c r="AX172" s="13" t="n">
        <v>0</v>
      </c>
      <c r="AY172" s="13" t="n">
        <v>1</v>
      </c>
      <c r="AZ172" s="13" t="n">
        <v>0</v>
      </c>
      <c r="BA172" s="23" t="str">
        <f aca="false">_xlfn.TEXTJOIN(", ",TRUE(),IF(AJ172=1,"glutine",IF(AJ172=2,"glutine (tracce)","")),IF(AK172=1,"latte",IF(AK172=2,"latte (tracce)","")),IF(AL172=1,"lattosio",IF(AL172=2,"lattosio (tracce)","")),IF(AM172=1,"uova",IF(AM172=2,"uova (tracce)","")),IF(AN172=1,"pesce",IF(AN172=2,"pesce (tracce)","")),IF(AO172=1,"crostacei",IF(AO172=2,"crostacei (tracce)","")),IF(AP172=1,"molluschi",IF(AP172=2,"molluschi (tracce)","")),IF(AQ172=1,"frutta a guscio",IF(AQ172=2,"frutta a guscio (tracce)","")),IF(AR172=1,"arachidi",IF(AR172=2,"arachidi (tracce)","")),IF(AS172=1,"soia",IF(AS172=2,"soia (tracce)","")),IF(AT172=1,"sesamo",IF(AT172=2,"sesamo (tracce)","")),IF(AU172=1,"sedano",IF(AU172=2,"sedano (tracce)","")),IF(AV172=1,"senape",IF(AV172=2,"senape (tracce)","")),IF(AW172=1,"solfiti",IF(AW172=2,"solfiti (tracce)","")),IF(AX172=1,"lupini",IF(AX172=2,"lupini (tracce)","")),IF(AY172=1,"nichel",IF(AY172=2,"nichel (tracce)","")),IF(AZ172=1,"FODMAP",IF(AZ172=2,"FODMAP (tracce)","")))</f>
        <v>nichel</v>
      </c>
      <c r="BB172" s="23" t="n">
        <f aca="false">ROUND(4*C172+4*D172+9*E172+2*N(F172),0)</f>
        <v>53</v>
      </c>
      <c r="BC172" s="23" t="s">
        <v>70</v>
      </c>
      <c r="BD172" s="23"/>
    </row>
    <row r="173" customFormat="false" ht="15" hidden="false" customHeight="false" outlineLevel="0" collapsed="false">
      <c r="A173" s="19" t="s">
        <v>480</v>
      </c>
      <c r="B173" s="20" t="n">
        <v>47</v>
      </c>
      <c r="C173" s="21" t="n">
        <v>5.1</v>
      </c>
      <c r="D173" s="21" t="n">
        <v>3.3</v>
      </c>
      <c r="E173" s="21" t="n">
        <v>0.2</v>
      </c>
      <c r="F173" s="22" t="n">
        <v>5.4</v>
      </c>
      <c r="G173" s="22" t="n">
        <v>0.99</v>
      </c>
      <c r="H173" s="22" t="n">
        <v>0.04</v>
      </c>
      <c r="I173" s="22" t="n">
        <v>0.01</v>
      </c>
      <c r="J173" s="22" t="n">
        <v>0.06</v>
      </c>
      <c r="K173" s="22" t="n">
        <v>0</v>
      </c>
      <c r="L173" s="22" t="n">
        <v>94</v>
      </c>
      <c r="M173" s="22" t="n">
        <v>370</v>
      </c>
      <c r="N173" s="22" t="n">
        <v>44</v>
      </c>
      <c r="O173" s="22" t="n">
        <v>90</v>
      </c>
      <c r="P173" s="22" t="n">
        <v>60</v>
      </c>
      <c r="Q173" s="22" t="n">
        <v>1.28</v>
      </c>
      <c r="R173" s="22" t="n">
        <v>0.49</v>
      </c>
      <c r="S173" s="22" t="n">
        <v>1</v>
      </c>
      <c r="T173" s="22" t="n">
        <v>11.7</v>
      </c>
      <c r="U173" s="22" t="n">
        <v>0</v>
      </c>
      <c r="V173" s="22" t="n">
        <v>0.19</v>
      </c>
      <c r="W173" s="22" t="n">
        <v>0.07</v>
      </c>
      <c r="X173" s="22" t="n">
        <v>0.07</v>
      </c>
      <c r="Y173" s="22" t="n">
        <v>1.05</v>
      </c>
      <c r="Z173" s="22" t="n">
        <v>0.12</v>
      </c>
      <c r="AA173" s="22" t="n">
        <v>68</v>
      </c>
      <c r="AB173" s="22" t="n">
        <v>0</v>
      </c>
      <c r="AC173" s="23" t="s">
        <v>431</v>
      </c>
      <c r="AD173" s="23" t="s">
        <v>481</v>
      </c>
      <c r="AE173" s="23" t="s">
        <v>397</v>
      </c>
      <c r="AF173" s="23" t="s">
        <v>69</v>
      </c>
      <c r="AG173" s="23"/>
      <c r="AH173" s="23"/>
      <c r="AI173" s="23"/>
      <c r="AJ173" s="13" t="n">
        <v>0</v>
      </c>
      <c r="AK173" s="13" t="n">
        <v>0</v>
      </c>
      <c r="AL173" s="13" t="n">
        <v>0</v>
      </c>
      <c r="AM173" s="13" t="n">
        <v>0</v>
      </c>
      <c r="AN173" s="13" t="n">
        <v>0</v>
      </c>
      <c r="AO173" s="13" t="n">
        <v>0</v>
      </c>
      <c r="AP173" s="13" t="n">
        <v>0</v>
      </c>
      <c r="AQ173" s="13" t="n">
        <v>0</v>
      </c>
      <c r="AR173" s="13" t="n">
        <v>0</v>
      </c>
      <c r="AS173" s="13" t="n">
        <v>0</v>
      </c>
      <c r="AT173" s="13" t="n">
        <v>0</v>
      </c>
      <c r="AU173" s="13" t="n">
        <v>0</v>
      </c>
      <c r="AV173" s="13" t="n">
        <v>0</v>
      </c>
      <c r="AW173" s="13" t="n">
        <v>0</v>
      </c>
      <c r="AX173" s="13" t="n">
        <v>0</v>
      </c>
      <c r="AY173" s="13" t="n">
        <v>0</v>
      </c>
      <c r="AZ173" s="13" t="n">
        <v>1</v>
      </c>
      <c r="BA173" s="23" t="str">
        <f aca="false">_xlfn.TEXTJOIN(", ",TRUE(),IF(AJ173=1,"glutine",IF(AJ173=2,"glutine (tracce)","")),IF(AK173=1,"latte",IF(AK173=2,"latte (tracce)","")),IF(AL173=1,"lattosio",IF(AL173=2,"lattosio (tracce)","")),IF(AM173=1,"uova",IF(AM173=2,"uova (tracce)","")),IF(AN173=1,"pesce",IF(AN173=2,"pesce (tracce)","")),IF(AO173=1,"crostacei",IF(AO173=2,"crostacei (tracce)","")),IF(AP173=1,"molluschi",IF(AP173=2,"molluschi (tracce)","")),IF(AQ173=1,"frutta a guscio",IF(AQ173=2,"frutta a guscio (tracce)","")),IF(AR173=1,"arachidi",IF(AR173=2,"arachidi (tracce)","")),IF(AS173=1,"soia",IF(AS173=2,"soia (tracce)","")),IF(AT173=1,"sesamo",IF(AT173=2,"sesamo (tracce)","")),IF(AU173=1,"sedano",IF(AU173=2,"sedano (tracce)","")),IF(AV173=1,"senape",IF(AV173=2,"senape (tracce)","")),IF(AW173=1,"solfiti",IF(AW173=2,"solfiti (tracce)","")),IF(AX173=1,"lupini",IF(AX173=2,"lupini (tracce)","")),IF(AY173=1,"nichel",IF(AY173=2,"nichel (tracce)","")),IF(AZ173=1,"FODMAP",IF(AZ173=2,"FODMAP (tracce)","")))</f>
        <v>FODMAP</v>
      </c>
      <c r="BB173" s="23" t="n">
        <f aca="false">ROUND(4*C173+4*D173+9*E173+2*N(F173),0)</f>
        <v>46</v>
      </c>
      <c r="BC173" s="23" t="s">
        <v>70</v>
      </c>
      <c r="BD173" s="23"/>
    </row>
    <row r="174" customFormat="false" ht="15" hidden="false" customHeight="false" outlineLevel="0" collapsed="false">
      <c r="A174" s="19" t="s">
        <v>482</v>
      </c>
      <c r="B174" s="20" t="n">
        <v>15</v>
      </c>
      <c r="C174" s="21" t="n">
        <v>3.1</v>
      </c>
      <c r="D174" s="21" t="n">
        <v>0.7</v>
      </c>
      <c r="E174" s="21" t="n">
        <v>0.1</v>
      </c>
      <c r="F174" s="22" t="n">
        <v>0.5</v>
      </c>
      <c r="G174" s="22" t="n">
        <v>1.67</v>
      </c>
      <c r="H174" s="22" t="n">
        <v>0.04</v>
      </c>
      <c r="I174" s="22" t="n">
        <v>0</v>
      </c>
      <c r="J174" s="22" t="n">
        <v>0.03</v>
      </c>
      <c r="K174" s="22" t="n">
        <v>0</v>
      </c>
      <c r="L174" s="22" t="n">
        <v>2</v>
      </c>
      <c r="M174" s="22" t="n">
        <v>147</v>
      </c>
      <c r="N174" s="22" t="n">
        <v>16</v>
      </c>
      <c r="O174" s="22" t="n">
        <v>24</v>
      </c>
      <c r="P174" s="22" t="n">
        <v>13</v>
      </c>
      <c r="Q174" s="22" t="n">
        <v>0.28</v>
      </c>
      <c r="R174" s="22" t="n">
        <v>0.2</v>
      </c>
      <c r="S174" s="22" t="n">
        <v>5</v>
      </c>
      <c r="T174" s="22" t="n">
        <v>2.8</v>
      </c>
      <c r="U174" s="22" t="n">
        <v>0</v>
      </c>
      <c r="V174" s="22" t="n">
        <v>0.03</v>
      </c>
      <c r="W174" s="22" t="n">
        <v>0.03</v>
      </c>
      <c r="X174" s="22" t="n">
        <v>0.03</v>
      </c>
      <c r="Y174" s="22" t="n">
        <v>0.1</v>
      </c>
      <c r="Z174" s="22" t="n">
        <v>0.04</v>
      </c>
      <c r="AA174" s="22" t="n">
        <v>7</v>
      </c>
      <c r="AB174" s="22" t="n">
        <v>0</v>
      </c>
      <c r="AC174" s="23" t="s">
        <v>431</v>
      </c>
      <c r="AD174" s="23" t="s">
        <v>483</v>
      </c>
      <c r="AE174" s="23" t="s">
        <v>397</v>
      </c>
      <c r="AF174" s="23" t="s">
        <v>69</v>
      </c>
      <c r="AG174" s="23"/>
      <c r="AH174" s="23"/>
      <c r="AI174" s="23"/>
      <c r="AJ174" s="13" t="n">
        <v>0</v>
      </c>
      <c r="AK174" s="13" t="n">
        <v>0</v>
      </c>
      <c r="AL174" s="13" t="n">
        <v>0</v>
      </c>
      <c r="AM174" s="13" t="n">
        <v>0</v>
      </c>
      <c r="AN174" s="13" t="n">
        <v>0</v>
      </c>
      <c r="AO174" s="13" t="n">
        <v>0</v>
      </c>
      <c r="AP174" s="13" t="n">
        <v>0</v>
      </c>
      <c r="AQ174" s="13" t="n">
        <v>0</v>
      </c>
      <c r="AR174" s="13" t="n">
        <v>0</v>
      </c>
      <c r="AS174" s="13" t="n">
        <v>0</v>
      </c>
      <c r="AT174" s="13" t="n">
        <v>0</v>
      </c>
      <c r="AU174" s="13" t="n">
        <v>0</v>
      </c>
      <c r="AV174" s="13" t="n">
        <v>0</v>
      </c>
      <c r="AW174" s="13" t="n">
        <v>0</v>
      </c>
      <c r="AX174" s="13" t="n">
        <v>0</v>
      </c>
      <c r="AY174" s="13" t="n">
        <v>0</v>
      </c>
      <c r="AZ174" s="13" t="n">
        <v>0</v>
      </c>
      <c r="BA174" s="23" t="str">
        <f aca="false">_xlfn.TEXTJOIN(", ",TRUE(),IF(AJ174=1,"glutine",IF(AJ174=2,"glutine (tracce)","")),IF(AK174=1,"latte",IF(AK174=2,"latte (tracce)","")),IF(AL174=1,"lattosio",IF(AL174=2,"lattosio (tracce)","")),IF(AM174=1,"uova",IF(AM174=2,"uova (tracce)","")),IF(AN174=1,"pesce",IF(AN174=2,"pesce (tracce)","")),IF(AO174=1,"crostacei",IF(AO174=2,"crostacei (tracce)","")),IF(AP174=1,"molluschi",IF(AP174=2,"molluschi (tracce)","")),IF(AQ174=1,"frutta a guscio",IF(AQ174=2,"frutta a guscio (tracce)","")),IF(AR174=1,"arachidi",IF(AR174=2,"arachidi (tracce)","")),IF(AS174=1,"soia",IF(AS174=2,"soia (tracce)","")),IF(AT174=1,"sesamo",IF(AT174=2,"sesamo (tracce)","")),IF(AU174=1,"sedano",IF(AU174=2,"sedano (tracce)","")),IF(AV174=1,"senape",IF(AV174=2,"senape (tracce)","")),IF(AW174=1,"solfiti",IF(AW174=2,"solfiti (tracce)","")),IF(AX174=1,"lupini",IF(AX174=2,"lupini (tracce)","")),IF(AY174=1,"nichel",IF(AY174=2,"nichel (tracce)","")),IF(AZ174=1,"FODMAP",IF(AZ174=2,"FODMAP (tracce)","")))</f>
        <v/>
      </c>
      <c r="BB174" s="23" t="n">
        <f aca="false">ROUND(4*C174+4*D174+9*E174+2*N(F174),0)</f>
        <v>17</v>
      </c>
      <c r="BC174" s="23" t="s">
        <v>70</v>
      </c>
      <c r="BD174" s="23"/>
    </row>
    <row r="175" customFormat="false" ht="15" hidden="false" customHeight="false" outlineLevel="0" collapsed="false">
      <c r="A175" s="19" t="s">
        <v>484</v>
      </c>
      <c r="B175" s="20" t="n">
        <v>16</v>
      </c>
      <c r="C175" s="21" t="n">
        <v>1.4</v>
      </c>
      <c r="D175" s="21" t="n">
        <v>0.7</v>
      </c>
      <c r="E175" s="21" t="n">
        <v>0.2</v>
      </c>
      <c r="F175" s="22" t="n">
        <v>1.6</v>
      </c>
      <c r="G175" s="22" t="n">
        <v>1.34</v>
      </c>
      <c r="H175" s="22" t="n">
        <v>0.04</v>
      </c>
      <c r="I175" s="22" t="n">
        <v>0.03</v>
      </c>
      <c r="J175" s="22" t="n">
        <v>0.08</v>
      </c>
      <c r="K175" s="22" t="n">
        <v>0</v>
      </c>
      <c r="L175" s="22" t="n">
        <v>80</v>
      </c>
      <c r="M175" s="22" t="n">
        <v>260</v>
      </c>
      <c r="N175" s="22" t="n">
        <v>40</v>
      </c>
      <c r="O175" s="22" t="n">
        <v>24</v>
      </c>
      <c r="P175" s="22" t="n">
        <v>11</v>
      </c>
      <c r="Q175" s="22" t="n">
        <v>0.2</v>
      </c>
      <c r="R175" s="22" t="n">
        <v>0.13</v>
      </c>
      <c r="S175" s="22" t="n">
        <v>22</v>
      </c>
      <c r="T175" s="22" t="n">
        <v>3.1</v>
      </c>
      <c r="U175" s="22" t="n">
        <v>0</v>
      </c>
      <c r="V175" s="22" t="n">
        <v>0.27</v>
      </c>
      <c r="W175" s="22" t="n">
        <v>0.02</v>
      </c>
      <c r="X175" s="22" t="n">
        <v>0.06</v>
      </c>
      <c r="Y175" s="22" t="n">
        <v>0.32</v>
      </c>
      <c r="Z175" s="22" t="n">
        <v>0.07</v>
      </c>
      <c r="AA175" s="22" t="n">
        <v>36</v>
      </c>
      <c r="AB175" s="22" t="n">
        <v>0</v>
      </c>
      <c r="AC175" s="23" t="s">
        <v>431</v>
      </c>
      <c r="AD175" s="23" t="s">
        <v>485</v>
      </c>
      <c r="AE175" s="23" t="s">
        <v>397</v>
      </c>
      <c r="AF175" s="23" t="s">
        <v>69</v>
      </c>
      <c r="AG175" s="23"/>
      <c r="AH175" s="23"/>
      <c r="AI175" s="23"/>
      <c r="AJ175" s="13" t="n">
        <v>0</v>
      </c>
      <c r="AK175" s="13" t="n">
        <v>0</v>
      </c>
      <c r="AL175" s="13" t="n">
        <v>0</v>
      </c>
      <c r="AM175" s="13" t="n">
        <v>0</v>
      </c>
      <c r="AN175" s="13" t="n">
        <v>0</v>
      </c>
      <c r="AO175" s="13" t="n">
        <v>0</v>
      </c>
      <c r="AP175" s="13" t="n">
        <v>0</v>
      </c>
      <c r="AQ175" s="13" t="n">
        <v>0</v>
      </c>
      <c r="AR175" s="13" t="n">
        <v>0</v>
      </c>
      <c r="AS175" s="13" t="n">
        <v>0</v>
      </c>
      <c r="AT175" s="13" t="n">
        <v>0</v>
      </c>
      <c r="AU175" s="13" t="n">
        <v>1</v>
      </c>
      <c r="AV175" s="13" t="n">
        <v>0</v>
      </c>
      <c r="AW175" s="13" t="n">
        <v>0</v>
      </c>
      <c r="AX175" s="13" t="n">
        <v>0</v>
      </c>
      <c r="AY175" s="13" t="n">
        <v>0</v>
      </c>
      <c r="AZ175" s="13" t="n">
        <v>1</v>
      </c>
      <c r="BA175" s="23" t="str">
        <f aca="false">_xlfn.TEXTJOIN(", ",TRUE(),IF(AJ175=1,"glutine",IF(AJ175=2,"glutine (tracce)","")),IF(AK175=1,"latte",IF(AK175=2,"latte (tracce)","")),IF(AL175=1,"lattosio",IF(AL175=2,"lattosio (tracce)","")),IF(AM175=1,"uova",IF(AM175=2,"uova (tracce)","")),IF(AN175=1,"pesce",IF(AN175=2,"pesce (tracce)","")),IF(AO175=1,"crostacei",IF(AO175=2,"crostacei (tracce)","")),IF(AP175=1,"molluschi",IF(AP175=2,"molluschi (tracce)","")),IF(AQ175=1,"frutta a guscio",IF(AQ175=2,"frutta a guscio (tracce)","")),IF(AR175=1,"arachidi",IF(AR175=2,"arachidi (tracce)","")),IF(AS175=1,"soia",IF(AS175=2,"soia (tracce)","")),IF(AT175=1,"sesamo",IF(AT175=2,"sesamo (tracce)","")),IF(AU175=1,"sedano",IF(AU175=2,"sedano (tracce)","")),IF(AV175=1,"senape",IF(AV175=2,"senape (tracce)","")),IF(AW175=1,"solfiti",IF(AW175=2,"solfiti (tracce)","")),IF(AX175=1,"lupini",IF(AX175=2,"lupini (tracce)","")),IF(AY175=1,"nichel",IF(AY175=2,"nichel (tracce)","")),IF(AZ175=1,"FODMAP",IF(AZ175=2,"FODMAP (tracce)","")))</f>
        <v>sedano, FODMAP</v>
      </c>
      <c r="BB175" s="23" t="n">
        <f aca="false">ROUND(4*C175+4*D175+9*E175+2*N(F175),0)</f>
        <v>13</v>
      </c>
      <c r="BC175" s="23" t="s">
        <v>70</v>
      </c>
      <c r="BD175" s="23"/>
    </row>
    <row r="176" customFormat="false" ht="15" hidden="false" customHeight="false" outlineLevel="0" collapsed="false">
      <c r="A176" s="19" t="s">
        <v>486</v>
      </c>
      <c r="B176" s="20" t="n">
        <v>40</v>
      </c>
      <c r="C176" s="21" t="n">
        <v>7.6</v>
      </c>
      <c r="D176" s="21" t="n">
        <v>1.1</v>
      </c>
      <c r="E176" s="21" t="n">
        <v>0.1</v>
      </c>
      <c r="F176" s="22" t="n">
        <v>1.7</v>
      </c>
      <c r="G176" s="22" t="n">
        <v>4.24</v>
      </c>
      <c r="H176" s="22" t="n">
        <v>0.04</v>
      </c>
      <c r="I176" s="22" t="n">
        <v>0.01</v>
      </c>
      <c r="J176" s="22" t="n">
        <v>0.02</v>
      </c>
      <c r="K176" s="22" t="n">
        <v>0</v>
      </c>
      <c r="L176" s="22" t="n">
        <v>4</v>
      </c>
      <c r="M176" s="22" t="n">
        <v>146</v>
      </c>
      <c r="N176" s="22" t="n">
        <v>23</v>
      </c>
      <c r="O176" s="22" t="n">
        <v>29</v>
      </c>
      <c r="P176" s="22" t="n">
        <v>10</v>
      </c>
      <c r="Q176" s="22" t="n">
        <v>0.21</v>
      </c>
      <c r="R176" s="22" t="n">
        <v>0.17</v>
      </c>
      <c r="S176" s="22" t="n">
        <v>0</v>
      </c>
      <c r="T176" s="22" t="n">
        <v>7.4</v>
      </c>
      <c r="U176" s="22" t="n">
        <v>0</v>
      </c>
      <c r="V176" s="22" t="n">
        <v>0.02</v>
      </c>
      <c r="W176" s="22" t="n">
        <v>0.05</v>
      </c>
      <c r="X176" s="22" t="n">
        <v>0.03</v>
      </c>
      <c r="Y176" s="22" t="n">
        <v>0.12</v>
      </c>
      <c r="Z176" s="22" t="n">
        <v>0.12</v>
      </c>
      <c r="AA176" s="22" t="n">
        <v>19</v>
      </c>
      <c r="AB176" s="22" t="n">
        <v>0</v>
      </c>
      <c r="AC176" s="23" t="s">
        <v>431</v>
      </c>
      <c r="AD176" s="23" t="s">
        <v>487</v>
      </c>
      <c r="AE176" s="23" t="s">
        <v>397</v>
      </c>
      <c r="AF176" s="23" t="s">
        <v>69</v>
      </c>
      <c r="AG176" s="23"/>
      <c r="AH176" s="23"/>
      <c r="AI176" s="23"/>
      <c r="AJ176" s="13" t="n">
        <v>0</v>
      </c>
      <c r="AK176" s="13" t="n">
        <v>0</v>
      </c>
      <c r="AL176" s="13" t="n">
        <v>0</v>
      </c>
      <c r="AM176" s="13" t="n">
        <v>0</v>
      </c>
      <c r="AN176" s="13" t="n">
        <v>0</v>
      </c>
      <c r="AO176" s="13" t="n">
        <v>0</v>
      </c>
      <c r="AP176" s="13" t="n">
        <v>0</v>
      </c>
      <c r="AQ176" s="13" t="n">
        <v>0</v>
      </c>
      <c r="AR176" s="13" t="n">
        <v>0</v>
      </c>
      <c r="AS176" s="13" t="n">
        <v>0</v>
      </c>
      <c r="AT176" s="13" t="n">
        <v>0</v>
      </c>
      <c r="AU176" s="13" t="n">
        <v>0</v>
      </c>
      <c r="AV176" s="13" t="n">
        <v>0</v>
      </c>
      <c r="AW176" s="13" t="n">
        <v>0</v>
      </c>
      <c r="AX176" s="13" t="n">
        <v>0</v>
      </c>
      <c r="AY176" s="13" t="n">
        <v>0</v>
      </c>
      <c r="AZ176" s="13" t="n">
        <v>1</v>
      </c>
      <c r="BA176" s="23" t="str">
        <f aca="false">_xlfn.TEXTJOIN(", ",TRUE(),IF(AJ176=1,"glutine",IF(AJ176=2,"glutine (tracce)","")),IF(AK176=1,"latte",IF(AK176=2,"latte (tracce)","")),IF(AL176=1,"lattosio",IF(AL176=2,"lattosio (tracce)","")),IF(AM176=1,"uova",IF(AM176=2,"uova (tracce)","")),IF(AN176=1,"pesce",IF(AN176=2,"pesce (tracce)","")),IF(AO176=1,"crostacei",IF(AO176=2,"crostacei (tracce)","")),IF(AP176=1,"molluschi",IF(AP176=2,"molluschi (tracce)","")),IF(AQ176=1,"frutta a guscio",IF(AQ176=2,"frutta a guscio (tracce)","")),IF(AR176=1,"arachidi",IF(AR176=2,"arachidi (tracce)","")),IF(AS176=1,"soia",IF(AS176=2,"soia (tracce)","")),IF(AT176=1,"sesamo",IF(AT176=2,"sesamo (tracce)","")),IF(AU176=1,"sedano",IF(AU176=2,"sedano (tracce)","")),IF(AV176=1,"senape",IF(AV176=2,"senape (tracce)","")),IF(AW176=1,"solfiti",IF(AW176=2,"solfiti (tracce)","")),IF(AX176=1,"lupini",IF(AX176=2,"lupini (tracce)","")),IF(AY176=1,"nichel",IF(AY176=2,"nichel (tracce)","")),IF(AZ176=1,"FODMAP",IF(AZ176=2,"FODMAP (tracce)","")))</f>
        <v>FODMAP</v>
      </c>
      <c r="BB176" s="23" t="n">
        <f aca="false">ROUND(4*C176+4*D176+9*E176+2*N(F176),0)</f>
        <v>39</v>
      </c>
      <c r="BC176" s="23" t="s">
        <v>70</v>
      </c>
      <c r="BD176" s="23"/>
    </row>
    <row r="177" customFormat="false" ht="15" hidden="false" customHeight="false" outlineLevel="0" collapsed="false">
      <c r="A177" s="19" t="s">
        <v>488</v>
      </c>
      <c r="B177" s="20" t="n">
        <v>149</v>
      </c>
      <c r="C177" s="21" t="n">
        <v>31</v>
      </c>
      <c r="D177" s="21" t="n">
        <v>6.4</v>
      </c>
      <c r="E177" s="21" t="n">
        <v>0.5</v>
      </c>
      <c r="F177" s="22" t="n">
        <v>2.1</v>
      </c>
      <c r="G177" s="22" t="n">
        <v>1</v>
      </c>
      <c r="H177" s="22" t="n">
        <v>0.09</v>
      </c>
      <c r="I177" s="22" t="n">
        <v>0.01</v>
      </c>
      <c r="J177" s="22" t="n">
        <v>0.25</v>
      </c>
      <c r="K177" s="22" t="n">
        <v>0</v>
      </c>
      <c r="L177" s="22" t="n">
        <v>17</v>
      </c>
      <c r="M177" s="22" t="n">
        <v>401</v>
      </c>
      <c r="N177" s="22" t="n">
        <v>181</v>
      </c>
      <c r="O177" s="22" t="n">
        <v>153</v>
      </c>
      <c r="P177" s="22" t="n">
        <v>25</v>
      </c>
      <c r="Q177" s="22" t="n">
        <v>1.7</v>
      </c>
      <c r="R177" s="22" t="n">
        <v>1.16</v>
      </c>
      <c r="S177" s="22" t="n">
        <v>0</v>
      </c>
      <c r="T177" s="22" t="n">
        <v>31.2</v>
      </c>
      <c r="U177" s="22" t="n">
        <v>0</v>
      </c>
      <c r="V177" s="22" t="n">
        <v>0.08</v>
      </c>
      <c r="W177" s="22" t="n">
        <v>0.2</v>
      </c>
      <c r="X177" s="22" t="n">
        <v>0.11</v>
      </c>
      <c r="Y177" s="22" t="n">
        <v>0.7</v>
      </c>
      <c r="Z177" s="22" t="n">
        <v>1.24</v>
      </c>
      <c r="AA177" s="22" t="n">
        <v>3</v>
      </c>
      <c r="AB177" s="22" t="n">
        <v>0</v>
      </c>
      <c r="AC177" s="23" t="s">
        <v>431</v>
      </c>
      <c r="AD177" s="23" t="s">
        <v>489</v>
      </c>
      <c r="AE177" s="23" t="s">
        <v>397</v>
      </c>
      <c r="AF177" s="23" t="s">
        <v>69</v>
      </c>
      <c r="AG177" s="23"/>
      <c r="AH177" s="23"/>
      <c r="AI177" s="23"/>
      <c r="AJ177" s="13" t="n">
        <v>0</v>
      </c>
      <c r="AK177" s="13" t="n">
        <v>0</v>
      </c>
      <c r="AL177" s="13" t="n">
        <v>0</v>
      </c>
      <c r="AM177" s="13" t="n">
        <v>0</v>
      </c>
      <c r="AN177" s="13" t="n">
        <v>0</v>
      </c>
      <c r="AO177" s="13" t="n">
        <v>0</v>
      </c>
      <c r="AP177" s="13" t="n">
        <v>0</v>
      </c>
      <c r="AQ177" s="13" t="n">
        <v>0</v>
      </c>
      <c r="AR177" s="13" t="n">
        <v>0</v>
      </c>
      <c r="AS177" s="13" t="n">
        <v>0</v>
      </c>
      <c r="AT177" s="13" t="n">
        <v>0</v>
      </c>
      <c r="AU177" s="13" t="n">
        <v>0</v>
      </c>
      <c r="AV177" s="13" t="n">
        <v>0</v>
      </c>
      <c r="AW177" s="13" t="n">
        <v>0</v>
      </c>
      <c r="AX177" s="13" t="n">
        <v>0</v>
      </c>
      <c r="AY177" s="13" t="n">
        <v>0</v>
      </c>
      <c r="AZ177" s="13" t="n">
        <v>1</v>
      </c>
      <c r="BA177" s="23" t="str">
        <f aca="false">_xlfn.TEXTJOIN(", ",TRUE(),IF(AJ177=1,"glutine",IF(AJ177=2,"glutine (tracce)","")),IF(AK177=1,"latte",IF(AK177=2,"latte (tracce)","")),IF(AL177=1,"lattosio",IF(AL177=2,"lattosio (tracce)","")),IF(AM177=1,"uova",IF(AM177=2,"uova (tracce)","")),IF(AN177=1,"pesce",IF(AN177=2,"pesce (tracce)","")),IF(AO177=1,"crostacei",IF(AO177=2,"crostacei (tracce)","")),IF(AP177=1,"molluschi",IF(AP177=2,"molluschi (tracce)","")),IF(AQ177=1,"frutta a guscio",IF(AQ177=2,"frutta a guscio (tracce)","")),IF(AR177=1,"arachidi",IF(AR177=2,"arachidi (tracce)","")),IF(AS177=1,"soia",IF(AS177=2,"soia (tracce)","")),IF(AT177=1,"sesamo",IF(AT177=2,"sesamo (tracce)","")),IF(AU177=1,"sedano",IF(AU177=2,"sedano (tracce)","")),IF(AV177=1,"senape",IF(AV177=2,"senape (tracce)","")),IF(AW177=1,"solfiti",IF(AW177=2,"solfiti (tracce)","")),IF(AX177=1,"lupini",IF(AX177=2,"lupini (tracce)","")),IF(AY177=1,"nichel",IF(AY177=2,"nichel (tracce)","")),IF(AZ177=1,"FODMAP",IF(AZ177=2,"FODMAP (tracce)","")))</f>
        <v>FODMAP</v>
      </c>
      <c r="BB177" s="23" t="n">
        <f aca="false">ROUND(4*C177+4*D177+9*E177+2*N(F177),0)</f>
        <v>158</v>
      </c>
      <c r="BC177" s="23" t="s">
        <v>70</v>
      </c>
      <c r="BD177" s="23"/>
    </row>
    <row r="178" customFormat="false" ht="15" hidden="false" customHeight="false" outlineLevel="0" collapsed="false">
      <c r="A178" s="19" t="s">
        <v>490</v>
      </c>
      <c r="B178" s="20" t="n">
        <v>19</v>
      </c>
      <c r="C178" s="21" t="n">
        <v>2.1</v>
      </c>
      <c r="D178" s="21" t="n">
        <v>1.8</v>
      </c>
      <c r="E178" s="21" t="n">
        <v>0.2</v>
      </c>
      <c r="F178" s="22" t="n">
        <v>1.6</v>
      </c>
      <c r="G178" s="22" t="n">
        <v>1.1</v>
      </c>
      <c r="H178" s="22" t="n">
        <v>0.03</v>
      </c>
      <c r="I178" s="22" t="n">
        <v>0.04</v>
      </c>
      <c r="J178" s="22" t="n">
        <v>0.07</v>
      </c>
      <c r="K178" s="22" t="n">
        <v>0</v>
      </c>
      <c r="L178" s="22" t="n">
        <v>213</v>
      </c>
      <c r="M178" s="22" t="n">
        <v>379</v>
      </c>
      <c r="N178" s="22" t="n">
        <v>51</v>
      </c>
      <c r="O178" s="22" t="n">
        <v>46</v>
      </c>
      <c r="P178" s="22" t="n">
        <v>81</v>
      </c>
      <c r="Q178" s="22" t="n">
        <v>1.8</v>
      </c>
      <c r="R178" s="22" t="n">
        <v>0.36</v>
      </c>
      <c r="S178" s="22" t="n">
        <v>306</v>
      </c>
      <c r="T178" s="22" t="n">
        <v>30</v>
      </c>
      <c r="U178" s="22" t="n">
        <v>0</v>
      </c>
      <c r="V178" s="22" t="n">
        <v>1.89</v>
      </c>
      <c r="W178" s="22" t="n">
        <v>0.04</v>
      </c>
      <c r="X178" s="22" t="n">
        <v>0.09</v>
      </c>
      <c r="Y178" s="22" t="n">
        <v>0.4</v>
      </c>
      <c r="Z178" s="22" t="n">
        <v>0.1</v>
      </c>
      <c r="AA178" s="22" t="n">
        <v>14</v>
      </c>
      <c r="AB178" s="22" t="n">
        <v>0</v>
      </c>
      <c r="AC178" s="23" t="s">
        <v>431</v>
      </c>
      <c r="AD178" s="23" t="s">
        <v>491</v>
      </c>
      <c r="AE178" s="23" t="s">
        <v>397</v>
      </c>
      <c r="AF178" s="23" t="s">
        <v>69</v>
      </c>
      <c r="AG178" s="23"/>
      <c r="AH178" s="23"/>
      <c r="AI178" s="23"/>
      <c r="AJ178" s="13" t="n">
        <v>0</v>
      </c>
      <c r="AK178" s="13" t="n">
        <v>0</v>
      </c>
      <c r="AL178" s="13" t="n">
        <v>0</v>
      </c>
      <c r="AM178" s="13" t="n">
        <v>0</v>
      </c>
      <c r="AN178" s="13" t="n">
        <v>0</v>
      </c>
      <c r="AO178" s="13" t="n">
        <v>0</v>
      </c>
      <c r="AP178" s="13" t="n">
        <v>0</v>
      </c>
      <c r="AQ178" s="13" t="n">
        <v>0</v>
      </c>
      <c r="AR178" s="13" t="n">
        <v>0</v>
      </c>
      <c r="AS178" s="13" t="n">
        <v>0</v>
      </c>
      <c r="AT178" s="13" t="n">
        <v>0</v>
      </c>
      <c r="AU178" s="13" t="n">
        <v>0</v>
      </c>
      <c r="AV178" s="13" t="n">
        <v>0</v>
      </c>
      <c r="AW178" s="13" t="n">
        <v>0</v>
      </c>
      <c r="AX178" s="13" t="n">
        <v>0</v>
      </c>
      <c r="AY178" s="13" t="n">
        <v>1</v>
      </c>
      <c r="AZ178" s="13" t="n">
        <v>0</v>
      </c>
      <c r="BA178" s="23" t="str">
        <f aca="false">_xlfn.TEXTJOIN(", ",TRUE(),IF(AJ178=1,"glutine",IF(AJ178=2,"glutine (tracce)","")),IF(AK178=1,"latte",IF(AK178=2,"latte (tracce)","")),IF(AL178=1,"lattosio",IF(AL178=2,"lattosio (tracce)","")),IF(AM178=1,"uova",IF(AM178=2,"uova (tracce)","")),IF(AN178=1,"pesce",IF(AN178=2,"pesce (tracce)","")),IF(AO178=1,"crostacei",IF(AO178=2,"crostacei (tracce)","")),IF(AP178=1,"molluschi",IF(AP178=2,"molluschi (tracce)","")),IF(AQ178=1,"frutta a guscio",IF(AQ178=2,"frutta a guscio (tracce)","")),IF(AR178=1,"arachidi",IF(AR178=2,"arachidi (tracce)","")),IF(AS178=1,"soia",IF(AS178=2,"soia (tracce)","")),IF(AT178=1,"sesamo",IF(AT178=2,"sesamo (tracce)","")),IF(AU178=1,"sedano",IF(AU178=2,"sedano (tracce)","")),IF(AV178=1,"senape",IF(AV178=2,"senape (tracce)","")),IF(AW178=1,"solfiti",IF(AW178=2,"solfiti (tracce)","")),IF(AX178=1,"lupini",IF(AX178=2,"lupini (tracce)","")),IF(AY178=1,"nichel",IF(AY178=2,"nichel (tracce)","")),IF(AZ178=1,"FODMAP",IF(AZ178=2,"FODMAP (tracce)","")))</f>
        <v>nichel</v>
      </c>
      <c r="BB178" s="23" t="n">
        <f aca="false">ROUND(4*C178+4*D178+9*E178+2*N(F178),0)</f>
        <v>21</v>
      </c>
      <c r="BC178" s="23" t="s">
        <v>70</v>
      </c>
      <c r="BD178" s="23"/>
    </row>
    <row r="179" customFormat="false" ht="15" hidden="false" customHeight="false" outlineLevel="0" collapsed="false">
      <c r="A179" s="2" t="s">
        <v>492</v>
      </c>
      <c r="B179" s="3" t="n">
        <v>33</v>
      </c>
      <c r="C179" s="4" t="n">
        <v>0</v>
      </c>
      <c r="D179" s="4" t="n">
        <v>3.3</v>
      </c>
      <c r="E179" s="4" t="n">
        <v>1.8</v>
      </c>
      <c r="F179" s="5" t="n">
        <v>0.6</v>
      </c>
      <c r="G179" s="5" t="n">
        <v>0</v>
      </c>
      <c r="H179" s="5" t="n">
        <v>0.3</v>
      </c>
      <c r="I179" s="5"/>
      <c r="J179" s="5"/>
      <c r="K179" s="5" t="n">
        <v>0</v>
      </c>
      <c r="L179" s="5" t="n">
        <v>32</v>
      </c>
      <c r="M179" s="5"/>
      <c r="N179" s="5" t="n">
        <v>120</v>
      </c>
      <c r="O179" s="5"/>
      <c r="P179" s="5"/>
      <c r="Q179" s="5"/>
      <c r="R179" s="5"/>
      <c r="S179" s="5"/>
      <c r="T179" s="5"/>
      <c r="U179" s="5" t="n">
        <v>0.75</v>
      </c>
      <c r="V179" s="5"/>
      <c r="W179" s="5"/>
      <c r="X179" s="5"/>
      <c r="Y179" s="5"/>
      <c r="Z179" s="5"/>
      <c r="AA179" s="5"/>
      <c r="AB179" s="5" t="n">
        <v>0.38</v>
      </c>
      <c r="AC179" s="6" t="s">
        <v>493</v>
      </c>
      <c r="AD179" s="6" t="s">
        <v>494</v>
      </c>
      <c r="AE179" s="6" t="s">
        <v>66</v>
      </c>
      <c r="AF179" s="6" t="s">
        <v>60</v>
      </c>
      <c r="AG179" s="6" t="n">
        <v>1</v>
      </c>
      <c r="AH179" s="6"/>
      <c r="AI179" s="6"/>
      <c r="AJ179" s="7" t="n">
        <v>0</v>
      </c>
      <c r="AK179" s="7" t="n">
        <v>0</v>
      </c>
      <c r="AL179" s="7" t="n">
        <v>0</v>
      </c>
      <c r="AM179" s="7" t="n">
        <v>0</v>
      </c>
      <c r="AN179" s="7" t="n">
        <v>0</v>
      </c>
      <c r="AO179" s="7" t="n">
        <v>0</v>
      </c>
      <c r="AP179" s="7" t="n">
        <v>0</v>
      </c>
      <c r="AQ179" s="7" t="n">
        <v>0</v>
      </c>
      <c r="AR179" s="7" t="n">
        <v>0</v>
      </c>
      <c r="AS179" s="7" t="n">
        <v>1</v>
      </c>
      <c r="AT179" s="7" t="n">
        <v>0</v>
      </c>
      <c r="AU179" s="7" t="n">
        <v>0</v>
      </c>
      <c r="AV179" s="7" t="n">
        <v>0</v>
      </c>
      <c r="AW179" s="7" t="n">
        <v>0</v>
      </c>
      <c r="AX179" s="7" t="n">
        <v>0</v>
      </c>
      <c r="AY179" s="7" t="n">
        <v>0</v>
      </c>
      <c r="AZ179" s="7" t="n">
        <v>1</v>
      </c>
      <c r="BA179" s="6" t="str">
        <f aca="false">_xlfn.TEXTJOIN(", ",TRUE(),IF(AJ179=1,"glutine",IF(AJ179=2,"glutine (tracce)","")),IF(AK179=1,"latte",IF(AK179=2,"latte (tracce)","")),IF(AL179=1,"lattosio",IF(AL179=2,"lattosio (tracce)","")),IF(AM179=1,"uova",IF(AM179=2,"uova (tracce)","")),IF(AN179=1,"pesce",IF(AN179=2,"pesce (tracce)","")),IF(AO179=1,"crostacei",IF(AO179=2,"crostacei (tracce)","")),IF(AP179=1,"molluschi",IF(AP179=2,"molluschi (tracce)","")),IF(AQ179=1,"frutta a guscio",IF(AQ179=2,"frutta a guscio (tracce)","")),IF(AR179=1,"arachidi",IF(AR179=2,"arachidi (tracce)","")),IF(AS179=1,"soia",IF(AS179=2,"soia (tracce)","")),IF(AT179=1,"sesamo",IF(AT179=2,"sesamo (tracce)","")),IF(AU179=1,"sedano",IF(AU179=2,"sedano (tracce)","")),IF(AV179=1,"senape",IF(AV179=2,"senape (tracce)","")),IF(AW179=1,"solfiti",IF(AW179=2,"solfiti (tracce)","")),IF(AX179=1,"lupini",IF(AX179=2,"lupini (tracce)","")),IF(AY179=1,"nichel",IF(AY179=2,"nichel (tracce)","")),IF(AZ179=1,"FODMAP",IF(AZ179=2,"FODMAP (tracce)","")))</f>
        <v>soia, FODMAP</v>
      </c>
      <c r="BB179" s="6" t="n">
        <f aca="false">ROUND(4*C179+4*D179+9*E179+2*N(F179),0)</f>
        <v>31</v>
      </c>
      <c r="BC179" s="6" t="s">
        <v>78</v>
      </c>
      <c r="BD179" s="6" t="s">
        <v>495</v>
      </c>
    </row>
    <row r="180" customFormat="false" ht="15" hidden="false" customHeight="false" outlineLevel="0" collapsed="false">
      <c r="A180" s="8" t="s">
        <v>496</v>
      </c>
      <c r="B180" s="9" t="n">
        <v>46</v>
      </c>
      <c r="C180" s="10" t="n">
        <v>6.7</v>
      </c>
      <c r="D180" s="10" t="n">
        <v>0.6</v>
      </c>
      <c r="E180" s="10" t="n">
        <v>1.5</v>
      </c>
      <c r="F180" s="11" t="n">
        <v>0.8</v>
      </c>
      <c r="G180" s="11" t="n">
        <v>3.3</v>
      </c>
      <c r="H180" s="11" t="n">
        <v>0.2</v>
      </c>
      <c r="I180" s="11"/>
      <c r="J180" s="11"/>
      <c r="K180" s="11" t="n">
        <v>0</v>
      </c>
      <c r="L180" s="11" t="n">
        <v>40</v>
      </c>
      <c r="M180" s="11"/>
      <c r="N180" s="11" t="n">
        <v>120</v>
      </c>
      <c r="O180" s="11"/>
      <c r="P180" s="11"/>
      <c r="Q180" s="11"/>
      <c r="R180" s="11"/>
      <c r="S180" s="11"/>
      <c r="T180" s="11"/>
      <c r="U180" s="11" t="n">
        <v>0.75</v>
      </c>
      <c r="V180" s="11"/>
      <c r="W180" s="11"/>
      <c r="X180" s="11"/>
      <c r="Y180" s="11"/>
      <c r="Z180" s="11"/>
      <c r="AA180" s="11"/>
      <c r="AB180" s="11" t="n">
        <v>0.38</v>
      </c>
      <c r="AC180" s="12" t="s">
        <v>493</v>
      </c>
      <c r="AD180" s="12" t="s">
        <v>497</v>
      </c>
      <c r="AE180" s="12" t="s">
        <v>224</v>
      </c>
      <c r="AF180" s="12" t="s">
        <v>60</v>
      </c>
      <c r="AG180" s="12" t="n">
        <v>1</v>
      </c>
      <c r="AH180" s="12"/>
      <c r="AI180" s="12"/>
      <c r="AJ180" s="13" t="n">
        <v>2</v>
      </c>
      <c r="AK180" s="13" t="n">
        <v>0</v>
      </c>
      <c r="AL180" s="13" t="n">
        <v>0</v>
      </c>
      <c r="AM180" s="13" t="n">
        <v>0</v>
      </c>
      <c r="AN180" s="13" t="n">
        <v>0</v>
      </c>
      <c r="AO180" s="13" t="n">
        <v>0</v>
      </c>
      <c r="AP180" s="13" t="n">
        <v>0</v>
      </c>
      <c r="AQ180" s="13" t="n">
        <v>0</v>
      </c>
      <c r="AR180" s="13" t="n">
        <v>0</v>
      </c>
      <c r="AS180" s="13" t="n">
        <v>0</v>
      </c>
      <c r="AT180" s="13" t="n">
        <v>0</v>
      </c>
      <c r="AU180" s="13" t="n">
        <v>0</v>
      </c>
      <c r="AV180" s="13" t="n">
        <v>0</v>
      </c>
      <c r="AW180" s="13" t="n">
        <v>0</v>
      </c>
      <c r="AX180" s="13" t="n">
        <v>0</v>
      </c>
      <c r="AY180" s="13" t="n">
        <v>1</v>
      </c>
      <c r="AZ180" s="13" t="n">
        <v>1</v>
      </c>
      <c r="BA180" s="12" t="str">
        <f aca="false">_xlfn.TEXTJOIN(", ",TRUE(),IF(AJ180=1,"glutine",IF(AJ180=2,"glutine (tracce)","")),IF(AK180=1,"latte",IF(AK180=2,"latte (tracce)","")),IF(AL180=1,"lattosio",IF(AL180=2,"lattosio (tracce)","")),IF(AM180=1,"uova",IF(AM180=2,"uova (tracce)","")),IF(AN180=1,"pesce",IF(AN180=2,"pesce (tracce)","")),IF(AO180=1,"crostacei",IF(AO180=2,"crostacei (tracce)","")),IF(AP180=1,"molluschi",IF(AP180=2,"molluschi (tracce)","")),IF(AQ180=1,"frutta a guscio",IF(AQ180=2,"frutta a guscio (tracce)","")),IF(AR180=1,"arachidi",IF(AR180=2,"arachidi (tracce)","")),IF(AS180=1,"soia",IF(AS180=2,"soia (tracce)","")),IF(AT180=1,"sesamo",IF(AT180=2,"sesamo (tracce)","")),IF(AU180=1,"sedano",IF(AU180=2,"sedano (tracce)","")),IF(AV180=1,"senape",IF(AV180=2,"senape (tracce)","")),IF(AW180=1,"solfiti",IF(AW180=2,"solfiti (tracce)","")),IF(AX180=1,"lupini",IF(AX180=2,"lupini (tracce)","")),IF(AY180=1,"nichel",IF(AY180=2,"nichel (tracce)","")),IF(AZ180=1,"FODMAP",IF(AZ180=2,"FODMAP (tracce)","")))</f>
        <v>glutine (tracce), nichel, FODMAP</v>
      </c>
      <c r="BB180" s="12" t="n">
        <f aca="false">ROUND(4*C180+4*D180+9*E180+2*N(F180),0)</f>
        <v>44</v>
      </c>
      <c r="BC180" s="12" t="s">
        <v>78</v>
      </c>
      <c r="BD180" s="12" t="s">
        <v>495</v>
      </c>
    </row>
    <row r="181" customFormat="false" ht="15" hidden="false" customHeight="false" outlineLevel="0" collapsed="false">
      <c r="A181" s="8" t="s">
        <v>498</v>
      </c>
      <c r="B181" s="9" t="n">
        <v>13</v>
      </c>
      <c r="C181" s="10" t="n">
        <v>0</v>
      </c>
      <c r="D181" s="10" t="n">
        <v>0.4</v>
      </c>
      <c r="E181" s="10" t="n">
        <v>1.1</v>
      </c>
      <c r="F181" s="11" t="n">
        <v>0.4</v>
      </c>
      <c r="G181" s="11" t="n">
        <v>0</v>
      </c>
      <c r="H181" s="11" t="n">
        <v>0.1</v>
      </c>
      <c r="I181" s="11"/>
      <c r="J181" s="11"/>
      <c r="K181" s="11" t="n">
        <v>0</v>
      </c>
      <c r="L181" s="11" t="n">
        <v>50</v>
      </c>
      <c r="M181" s="11"/>
      <c r="N181" s="11" t="n">
        <v>120</v>
      </c>
      <c r="O181" s="11"/>
      <c r="P181" s="11"/>
      <c r="Q181" s="11"/>
      <c r="R181" s="11"/>
      <c r="S181" s="11"/>
      <c r="T181" s="11"/>
      <c r="U181" s="11" t="n">
        <v>0.75</v>
      </c>
      <c r="V181" s="11"/>
      <c r="W181" s="11"/>
      <c r="X181" s="11"/>
      <c r="Y181" s="11"/>
      <c r="Z181" s="11"/>
      <c r="AA181" s="11"/>
      <c r="AB181" s="11" t="n">
        <v>0.38</v>
      </c>
      <c r="AC181" s="12" t="s">
        <v>493</v>
      </c>
      <c r="AD181" s="12" t="s">
        <v>499</v>
      </c>
      <c r="AE181" s="12" t="s">
        <v>119</v>
      </c>
      <c r="AF181" s="12" t="s">
        <v>60</v>
      </c>
      <c r="AG181" s="12" t="n">
        <v>1</v>
      </c>
      <c r="AH181" s="12"/>
      <c r="AI181" s="12"/>
      <c r="AJ181" s="13" t="n">
        <v>0</v>
      </c>
      <c r="AK181" s="13" t="n">
        <v>0</v>
      </c>
      <c r="AL181" s="13" t="n">
        <v>0</v>
      </c>
      <c r="AM181" s="13" t="n">
        <v>0</v>
      </c>
      <c r="AN181" s="13" t="n">
        <v>0</v>
      </c>
      <c r="AO181" s="13" t="n">
        <v>0</v>
      </c>
      <c r="AP181" s="13" t="n">
        <v>0</v>
      </c>
      <c r="AQ181" s="13" t="n">
        <v>1</v>
      </c>
      <c r="AR181" s="13" t="n">
        <v>0</v>
      </c>
      <c r="AS181" s="13" t="n">
        <v>0</v>
      </c>
      <c r="AT181" s="13" t="n">
        <v>0</v>
      </c>
      <c r="AU181" s="13" t="n">
        <v>0</v>
      </c>
      <c r="AV181" s="13" t="n">
        <v>0</v>
      </c>
      <c r="AW181" s="13" t="n">
        <v>0</v>
      </c>
      <c r="AX181" s="13" t="n">
        <v>0</v>
      </c>
      <c r="AY181" s="13" t="n">
        <v>0</v>
      </c>
      <c r="AZ181" s="13" t="n">
        <v>0</v>
      </c>
      <c r="BA181" s="12" t="str">
        <f aca="false">_xlfn.TEXTJOIN(", ",TRUE(),IF(AJ181=1,"glutine",IF(AJ181=2,"glutine (tracce)","")),IF(AK181=1,"latte",IF(AK181=2,"latte (tracce)","")),IF(AL181=1,"lattosio",IF(AL181=2,"lattosio (tracce)","")),IF(AM181=1,"uova",IF(AM181=2,"uova (tracce)","")),IF(AN181=1,"pesce",IF(AN181=2,"pesce (tracce)","")),IF(AO181=1,"crostacei",IF(AO181=2,"crostacei (tracce)","")),IF(AP181=1,"molluschi",IF(AP181=2,"molluschi (tracce)","")),IF(AQ181=1,"frutta a guscio",IF(AQ181=2,"frutta a guscio (tracce)","")),IF(AR181=1,"arachidi",IF(AR181=2,"arachidi (tracce)","")),IF(AS181=1,"soia",IF(AS181=2,"soia (tracce)","")),IF(AT181=1,"sesamo",IF(AT181=2,"sesamo (tracce)","")),IF(AU181=1,"sedano",IF(AU181=2,"sedano (tracce)","")),IF(AV181=1,"senape",IF(AV181=2,"senape (tracce)","")),IF(AW181=1,"solfiti",IF(AW181=2,"solfiti (tracce)","")),IF(AX181=1,"lupini",IF(AX181=2,"lupini (tracce)","")),IF(AY181=1,"nichel",IF(AY181=2,"nichel (tracce)","")),IF(AZ181=1,"FODMAP",IF(AZ181=2,"FODMAP (tracce)","")))</f>
        <v>frutta a guscio</v>
      </c>
      <c r="BB181" s="12" t="n">
        <f aca="false">ROUND(4*C181+4*D181+9*E181+2*N(F181),0)</f>
        <v>12</v>
      </c>
      <c r="BC181" s="12" t="s">
        <v>78</v>
      </c>
      <c r="BD181" s="12" t="s">
        <v>495</v>
      </c>
    </row>
    <row r="182" customFormat="false" ht="15" hidden="false" customHeight="false" outlineLevel="0" collapsed="false">
      <c r="A182" s="8" t="s">
        <v>500</v>
      </c>
      <c r="B182" s="9" t="n">
        <v>47</v>
      </c>
      <c r="C182" s="10" t="n">
        <v>9.4</v>
      </c>
      <c r="D182" s="10" t="n">
        <v>0.1</v>
      </c>
      <c r="E182" s="10" t="n">
        <v>1</v>
      </c>
      <c r="F182" s="11" t="n">
        <v>0.1</v>
      </c>
      <c r="G182" s="11" t="n">
        <v>3.3</v>
      </c>
      <c r="H182" s="11" t="n">
        <v>0.1</v>
      </c>
      <c r="I182" s="11"/>
      <c r="J182" s="11"/>
      <c r="K182" s="11" t="n">
        <v>0</v>
      </c>
      <c r="L182" s="11" t="n">
        <v>40</v>
      </c>
      <c r="M182" s="11"/>
      <c r="N182" s="11" t="n">
        <v>120</v>
      </c>
      <c r="O182" s="11"/>
      <c r="P182" s="11"/>
      <c r="Q182" s="11"/>
      <c r="R182" s="11"/>
      <c r="S182" s="11"/>
      <c r="T182" s="11"/>
      <c r="U182" s="11" t="n">
        <v>0.75</v>
      </c>
      <c r="V182" s="11"/>
      <c r="W182" s="11"/>
      <c r="X182" s="11"/>
      <c r="Y182" s="11"/>
      <c r="Z182" s="11"/>
      <c r="AA182" s="11"/>
      <c r="AB182" s="11" t="n">
        <v>0.38</v>
      </c>
      <c r="AC182" s="12" t="s">
        <v>493</v>
      </c>
      <c r="AD182" s="12" t="s">
        <v>501</v>
      </c>
      <c r="AE182" s="12" t="s">
        <v>224</v>
      </c>
      <c r="AF182" s="12" t="s">
        <v>60</v>
      </c>
      <c r="AG182" s="12" t="n">
        <v>1</v>
      </c>
      <c r="AH182" s="12"/>
      <c r="AI182" s="12"/>
      <c r="AJ182" s="13" t="n">
        <v>0</v>
      </c>
      <c r="AK182" s="13" t="n">
        <v>0</v>
      </c>
      <c r="AL182" s="13" t="n">
        <v>0</v>
      </c>
      <c r="AM182" s="13" t="n">
        <v>0</v>
      </c>
      <c r="AN182" s="13" t="n">
        <v>0</v>
      </c>
      <c r="AO182" s="13" t="n">
        <v>0</v>
      </c>
      <c r="AP182" s="13" t="n">
        <v>0</v>
      </c>
      <c r="AQ182" s="13" t="n">
        <v>0</v>
      </c>
      <c r="AR182" s="13" t="n">
        <v>0</v>
      </c>
      <c r="AS182" s="13" t="n">
        <v>0</v>
      </c>
      <c r="AT182" s="13" t="n">
        <v>0</v>
      </c>
      <c r="AU182" s="13" t="n">
        <v>0</v>
      </c>
      <c r="AV182" s="13" t="n">
        <v>0</v>
      </c>
      <c r="AW182" s="13" t="n">
        <v>0</v>
      </c>
      <c r="AX182" s="13" t="n">
        <v>0</v>
      </c>
      <c r="AY182" s="13" t="n">
        <v>0</v>
      </c>
      <c r="AZ182" s="13" t="n">
        <v>0</v>
      </c>
      <c r="BA182" s="12" t="str">
        <f aca="false">_xlfn.TEXTJOIN(", ",TRUE(),IF(AJ182=1,"glutine",IF(AJ182=2,"glutine (tracce)","")),IF(AK182=1,"latte",IF(AK182=2,"latte (tracce)","")),IF(AL182=1,"lattosio",IF(AL182=2,"lattosio (tracce)","")),IF(AM182=1,"uova",IF(AM182=2,"uova (tracce)","")),IF(AN182=1,"pesce",IF(AN182=2,"pesce (tracce)","")),IF(AO182=1,"crostacei",IF(AO182=2,"crostacei (tracce)","")),IF(AP182=1,"molluschi",IF(AP182=2,"molluschi (tracce)","")),IF(AQ182=1,"frutta a guscio",IF(AQ182=2,"frutta a guscio (tracce)","")),IF(AR182=1,"arachidi",IF(AR182=2,"arachidi (tracce)","")),IF(AS182=1,"soia",IF(AS182=2,"soia (tracce)","")),IF(AT182=1,"sesamo",IF(AT182=2,"sesamo (tracce)","")),IF(AU182=1,"sedano",IF(AU182=2,"sedano (tracce)","")),IF(AV182=1,"senape",IF(AV182=2,"senape (tracce)","")),IF(AW182=1,"solfiti",IF(AW182=2,"solfiti (tracce)","")),IF(AX182=1,"lupini",IF(AX182=2,"lupini (tracce)","")),IF(AY182=1,"nichel",IF(AY182=2,"nichel (tracce)","")),IF(AZ182=1,"FODMAP",IF(AZ182=2,"FODMAP (tracce)","")))</f>
        <v/>
      </c>
      <c r="BB182" s="12" t="n">
        <f aca="false">ROUND(4*C182+4*D182+9*E182+2*N(F182),0)</f>
        <v>47</v>
      </c>
      <c r="BC182" s="12" t="s">
        <v>78</v>
      </c>
      <c r="BD182" s="12" t="s">
        <v>495</v>
      </c>
    </row>
  </sheetData>
  <autoFilter ref="A1:BD182"/>
  <conditionalFormatting sqref="AJ2:AJ182">
    <cfRule type="cellIs" priority="2" operator="equal" aboveAverage="0" equalAverage="0" bottom="0" percent="0" rank="0" text="" dxfId="22">
      <formula>1</formula>
    </cfRule>
    <cfRule type="cellIs" priority="3" operator="equal" aboveAverage="0" equalAverage="0" bottom="0" percent="0" rank="0" text="" dxfId="23">
      <formula>2</formula>
    </cfRule>
  </conditionalFormatting>
  <conditionalFormatting sqref="AK2:AK182">
    <cfRule type="cellIs" priority="4" operator="equal" aboveAverage="0" equalAverage="0" bottom="0" percent="0" rank="0" text="" dxfId="24">
      <formula>1</formula>
    </cfRule>
    <cfRule type="cellIs" priority="5" operator="equal" aboveAverage="0" equalAverage="0" bottom="0" percent="0" rank="0" text="" dxfId="25">
      <formula>2</formula>
    </cfRule>
  </conditionalFormatting>
  <conditionalFormatting sqref="AL2:AL182">
    <cfRule type="cellIs" priority="6" operator="equal" aboveAverage="0" equalAverage="0" bottom="0" percent="0" rank="0" text="" dxfId="26">
      <formula>1</formula>
    </cfRule>
    <cfRule type="cellIs" priority="7" operator="equal" aboveAverage="0" equalAverage="0" bottom="0" percent="0" rank="0" text="" dxfId="27">
      <formula>2</formula>
    </cfRule>
  </conditionalFormatting>
  <conditionalFormatting sqref="AM2:AM182">
    <cfRule type="cellIs" priority="8" operator="equal" aboveAverage="0" equalAverage="0" bottom="0" percent="0" rank="0" text="" dxfId="28">
      <formula>1</formula>
    </cfRule>
    <cfRule type="cellIs" priority="9" operator="equal" aboveAverage="0" equalAverage="0" bottom="0" percent="0" rank="0" text="" dxfId="29">
      <formula>2</formula>
    </cfRule>
  </conditionalFormatting>
  <conditionalFormatting sqref="AN2:AN182">
    <cfRule type="cellIs" priority="10" operator="equal" aboveAverage="0" equalAverage="0" bottom="0" percent="0" rank="0" text="" dxfId="30">
      <formula>1</formula>
    </cfRule>
    <cfRule type="cellIs" priority="11" operator="equal" aboveAverage="0" equalAverage="0" bottom="0" percent="0" rank="0" text="" dxfId="31">
      <formula>2</formula>
    </cfRule>
  </conditionalFormatting>
  <conditionalFormatting sqref="AO2:AO182">
    <cfRule type="cellIs" priority="12" operator="equal" aboveAverage="0" equalAverage="0" bottom="0" percent="0" rank="0" text="" dxfId="32">
      <formula>1</formula>
    </cfRule>
    <cfRule type="cellIs" priority="13" operator="equal" aboveAverage="0" equalAverage="0" bottom="0" percent="0" rank="0" text="" dxfId="33">
      <formula>2</formula>
    </cfRule>
  </conditionalFormatting>
  <conditionalFormatting sqref="AP2:AP182">
    <cfRule type="cellIs" priority="14" operator="equal" aboveAverage="0" equalAverage="0" bottom="0" percent="0" rank="0" text="" dxfId="34">
      <formula>1</formula>
    </cfRule>
    <cfRule type="cellIs" priority="15" operator="equal" aboveAverage="0" equalAverage="0" bottom="0" percent="0" rank="0" text="" dxfId="35">
      <formula>2</formula>
    </cfRule>
  </conditionalFormatting>
  <conditionalFormatting sqref="AQ2:AQ182">
    <cfRule type="cellIs" priority="16" operator="equal" aboveAverage="0" equalAverage="0" bottom="0" percent="0" rank="0" text="" dxfId="36">
      <formula>1</formula>
    </cfRule>
    <cfRule type="cellIs" priority="17" operator="equal" aboveAverage="0" equalAverage="0" bottom="0" percent="0" rank="0" text="" dxfId="37">
      <formula>2</formula>
    </cfRule>
  </conditionalFormatting>
  <conditionalFormatting sqref="AR2:AR182">
    <cfRule type="cellIs" priority="18" operator="equal" aboveAverage="0" equalAverage="0" bottom="0" percent="0" rank="0" text="" dxfId="38">
      <formula>1</formula>
    </cfRule>
    <cfRule type="cellIs" priority="19" operator="equal" aboveAverage="0" equalAverage="0" bottom="0" percent="0" rank="0" text="" dxfId="39">
      <formula>2</formula>
    </cfRule>
  </conditionalFormatting>
  <conditionalFormatting sqref="AS2:AS182">
    <cfRule type="cellIs" priority="20" operator="equal" aboveAverage="0" equalAverage="0" bottom="0" percent="0" rank="0" text="" dxfId="40">
      <formula>1</formula>
    </cfRule>
    <cfRule type="cellIs" priority="21" operator="equal" aboveAverage="0" equalAverage="0" bottom="0" percent="0" rank="0" text="" dxfId="41">
      <formula>2</formula>
    </cfRule>
  </conditionalFormatting>
  <conditionalFormatting sqref="AT2:AT182">
    <cfRule type="cellIs" priority="22" operator="equal" aboveAverage="0" equalAverage="0" bottom="0" percent="0" rank="0" text="" dxfId="42">
      <formula>1</formula>
    </cfRule>
    <cfRule type="cellIs" priority="23" operator="equal" aboveAverage="0" equalAverage="0" bottom="0" percent="0" rank="0" text="" dxfId="43">
      <formula>2</formula>
    </cfRule>
  </conditionalFormatting>
  <conditionalFormatting sqref="AU2:AU182">
    <cfRule type="cellIs" priority="24" operator="equal" aboveAverage="0" equalAverage="0" bottom="0" percent="0" rank="0" text="" dxfId="44">
      <formula>1</formula>
    </cfRule>
    <cfRule type="cellIs" priority="25" operator="equal" aboveAverage="0" equalAverage="0" bottom="0" percent="0" rank="0" text="" dxfId="45">
      <formula>2</formula>
    </cfRule>
  </conditionalFormatting>
  <conditionalFormatting sqref="AV2:AV182">
    <cfRule type="cellIs" priority="26" operator="equal" aboveAverage="0" equalAverage="0" bottom="0" percent="0" rank="0" text="" dxfId="46">
      <formula>1</formula>
    </cfRule>
    <cfRule type="cellIs" priority="27" operator="equal" aboveAverage="0" equalAverage="0" bottom="0" percent="0" rank="0" text="" dxfId="47">
      <formula>2</formula>
    </cfRule>
  </conditionalFormatting>
  <conditionalFormatting sqref="AW2:AW182">
    <cfRule type="cellIs" priority="28" operator="equal" aboveAverage="0" equalAverage="0" bottom="0" percent="0" rank="0" text="" dxfId="48">
      <formula>1</formula>
    </cfRule>
    <cfRule type="cellIs" priority="29" operator="equal" aboveAverage="0" equalAverage="0" bottom="0" percent="0" rank="0" text="" dxfId="49">
      <formula>2</formula>
    </cfRule>
  </conditionalFormatting>
  <conditionalFormatting sqref="AX2:AX182">
    <cfRule type="cellIs" priority="30" operator="equal" aboveAverage="0" equalAverage="0" bottom="0" percent="0" rank="0" text="" dxfId="50">
      <formula>1</formula>
    </cfRule>
    <cfRule type="cellIs" priority="31" operator="equal" aboveAverage="0" equalAverage="0" bottom="0" percent="0" rank="0" text="" dxfId="51">
      <formula>2</formula>
    </cfRule>
  </conditionalFormatting>
  <conditionalFormatting sqref="AY2:AY182">
    <cfRule type="cellIs" priority="32" operator="equal" aboveAverage="0" equalAverage="0" bottom="0" percent="0" rank="0" text="" dxfId="52">
      <formula>1</formula>
    </cfRule>
    <cfRule type="cellIs" priority="33" operator="equal" aboveAverage="0" equalAverage="0" bottom="0" percent="0" rank="0" text="" dxfId="53">
      <formula>2</formula>
    </cfRule>
  </conditionalFormatting>
  <conditionalFormatting sqref="AZ2:AZ182">
    <cfRule type="cellIs" priority="34" operator="equal" aboveAverage="0" equalAverage="0" bottom="0" percent="0" rank="0" text="" dxfId="54">
      <formula>1</formula>
    </cfRule>
    <cfRule type="cellIs" priority="35" operator="equal" aboveAverage="0" equalAverage="0" bottom="0" percent="0" rank="0" text="" dxfId="55">
      <formula>2</formula>
    </cfRule>
  </conditionalFormatting>
  <dataValidations count="1">
    <dataValidation allowBlank="false" errorStyle="stop" operator="between" showDropDown="false" showErrorMessage="false" showInputMessage="false" sqref="AJ2:AZ182" type="whole">
      <formula1>0</formula1>
      <formula2>2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5" min="4" style="0" width="22"/>
  </cols>
  <sheetData>
    <row r="1" customFormat="false" ht="16.15" hidden="false" customHeight="false" outlineLevel="0" collapsed="false">
      <c r="A1" s="24" t="s">
        <v>502</v>
      </c>
    </row>
    <row r="3" customFormat="false" ht="15" hidden="false" customHeight="false" outlineLevel="0" collapsed="false">
      <c r="A3" s="25" t="s">
        <v>503</v>
      </c>
      <c r="B3" s="25" t="s">
        <v>504</v>
      </c>
      <c r="C3" s="25" t="s">
        <v>505</v>
      </c>
      <c r="D3" s="25" t="s">
        <v>506</v>
      </c>
      <c r="E3" s="25" t="s">
        <v>507</v>
      </c>
    </row>
    <row r="4" customFormat="false" ht="15" hidden="false" customHeight="false" outlineLevel="0" collapsed="false">
      <c r="A4" s="26" t="s">
        <v>35</v>
      </c>
      <c r="B4" s="26" t="s">
        <v>508</v>
      </c>
      <c r="C4" s="27"/>
      <c r="D4" s="26" t="n">
        <f aca="false">COUNTIF(Alimenti!AJ2:AJ182,1)</f>
        <v>21</v>
      </c>
      <c r="E4" s="26" t="n">
        <f aca="false">COUNTIF(Alimenti!AJ2:AJ182,2)</f>
        <v>4</v>
      </c>
    </row>
    <row r="5" customFormat="false" ht="15" hidden="false" customHeight="false" outlineLevel="0" collapsed="false">
      <c r="A5" s="26" t="s">
        <v>36</v>
      </c>
      <c r="B5" s="26" t="s">
        <v>509</v>
      </c>
      <c r="C5" s="28"/>
      <c r="D5" s="26" t="n">
        <f aca="false">COUNTIF(Alimenti!AK2:AK182,1)</f>
        <v>22</v>
      </c>
      <c r="E5" s="26" t="n">
        <f aca="false">COUNTIF(Alimenti!AK2:AK182,2)</f>
        <v>4</v>
      </c>
    </row>
    <row r="6" customFormat="false" ht="15" hidden="false" customHeight="false" outlineLevel="0" collapsed="false">
      <c r="A6" s="26" t="s">
        <v>37</v>
      </c>
      <c r="B6" s="26" t="s">
        <v>510</v>
      </c>
      <c r="C6" s="29"/>
      <c r="D6" s="26" t="n">
        <f aca="false">COUNTIF(Alimenti!AL2:AL182,1)</f>
        <v>16</v>
      </c>
      <c r="E6" s="26" t="n">
        <f aca="false">COUNTIF(Alimenti!AL2:AL182,2)</f>
        <v>0</v>
      </c>
    </row>
    <row r="7" customFormat="false" ht="15" hidden="false" customHeight="false" outlineLevel="0" collapsed="false">
      <c r="A7" s="26" t="s">
        <v>38</v>
      </c>
      <c r="B7" s="26" t="s">
        <v>109</v>
      </c>
      <c r="C7" s="30"/>
      <c r="D7" s="26" t="n">
        <f aca="false">COUNTIF(Alimenti!AM2:AM182,1)</f>
        <v>4</v>
      </c>
      <c r="E7" s="26" t="n">
        <f aca="false">COUNTIF(Alimenti!AM2:AM182,2)</f>
        <v>2</v>
      </c>
    </row>
    <row r="8" customFormat="false" ht="15" hidden="false" customHeight="false" outlineLevel="0" collapsed="false">
      <c r="A8" s="26" t="s">
        <v>39</v>
      </c>
      <c r="B8" s="26" t="s">
        <v>153</v>
      </c>
      <c r="C8" s="31"/>
      <c r="D8" s="26" t="n">
        <f aca="false">COUNTIF(Alimenti!AN2:AN182,1)</f>
        <v>16</v>
      </c>
      <c r="E8" s="26" t="n">
        <f aca="false">COUNTIF(Alimenti!AN2:AN182,2)</f>
        <v>0</v>
      </c>
    </row>
    <row r="9" customFormat="false" ht="15" hidden="false" customHeight="false" outlineLevel="0" collapsed="false">
      <c r="A9" s="26" t="s">
        <v>40</v>
      </c>
      <c r="B9" s="26" t="s">
        <v>511</v>
      </c>
      <c r="C9" s="32"/>
      <c r="D9" s="26" t="n">
        <f aca="false">COUNTIF(Alimenti!AO2:AO182,1)</f>
        <v>1</v>
      </c>
      <c r="E9" s="26" t="n">
        <f aca="false">COUNTIF(Alimenti!AO2:AO182,2)</f>
        <v>0</v>
      </c>
    </row>
    <row r="10" customFormat="false" ht="15" hidden="false" customHeight="false" outlineLevel="0" collapsed="false">
      <c r="A10" s="26" t="s">
        <v>41</v>
      </c>
      <c r="B10" s="26" t="s">
        <v>512</v>
      </c>
      <c r="C10" s="33"/>
      <c r="D10" s="26" t="n">
        <f aca="false">COUNTIF(Alimenti!AP2:AP182,1)</f>
        <v>5</v>
      </c>
      <c r="E10" s="26" t="n">
        <f aca="false">COUNTIF(Alimenti!AP2:AP182,2)</f>
        <v>0</v>
      </c>
    </row>
    <row r="11" customFormat="false" ht="15" hidden="false" customHeight="false" outlineLevel="0" collapsed="false">
      <c r="A11" s="26" t="s">
        <v>42</v>
      </c>
      <c r="B11" s="26" t="s">
        <v>513</v>
      </c>
      <c r="C11" s="34"/>
      <c r="D11" s="26" t="n">
        <f aca="false">COUNTIF(Alimenti!AQ2:AQ182,1)</f>
        <v>7</v>
      </c>
      <c r="E11" s="26" t="n">
        <f aca="false">COUNTIF(Alimenti!AQ2:AQ182,2)</f>
        <v>4</v>
      </c>
    </row>
    <row r="12" customFormat="false" ht="15" hidden="false" customHeight="false" outlineLevel="0" collapsed="false">
      <c r="A12" s="26" t="s">
        <v>43</v>
      </c>
      <c r="B12" s="26" t="s">
        <v>369</v>
      </c>
      <c r="C12" s="35"/>
      <c r="D12" s="26" t="n">
        <f aca="false">COUNTIF(Alimenti!AR2:AR182,1)</f>
        <v>2</v>
      </c>
      <c r="E12" s="26" t="n">
        <f aca="false">COUNTIF(Alimenti!AR2:AR182,2)</f>
        <v>0</v>
      </c>
    </row>
    <row r="13" customFormat="false" ht="15" hidden="false" customHeight="false" outlineLevel="0" collapsed="false">
      <c r="A13" s="26" t="s">
        <v>44</v>
      </c>
      <c r="B13" s="26" t="s">
        <v>514</v>
      </c>
      <c r="C13" s="36"/>
      <c r="D13" s="26" t="n">
        <f aca="false">COUNTIF(Alimenti!AS2:AS182,1)</f>
        <v>7</v>
      </c>
      <c r="E13" s="26" t="n">
        <f aca="false">COUNTIF(Alimenti!AS2:AS182,2)</f>
        <v>5</v>
      </c>
    </row>
    <row r="14" customFormat="false" ht="15" hidden="false" customHeight="false" outlineLevel="0" collapsed="false">
      <c r="A14" s="26" t="s">
        <v>45</v>
      </c>
      <c r="B14" s="26" t="s">
        <v>515</v>
      </c>
      <c r="C14" s="37"/>
      <c r="D14" s="26" t="n">
        <f aca="false">COUNTIF(Alimenti!AT2:AT182,1)</f>
        <v>1</v>
      </c>
      <c r="E14" s="26" t="n">
        <f aca="false">COUNTIF(Alimenti!AT2:AT182,2)</f>
        <v>1</v>
      </c>
    </row>
    <row r="15" customFormat="false" ht="15" hidden="false" customHeight="false" outlineLevel="0" collapsed="false">
      <c r="A15" s="26" t="s">
        <v>46</v>
      </c>
      <c r="B15" s="26" t="s">
        <v>484</v>
      </c>
      <c r="C15" s="38"/>
      <c r="D15" s="26" t="n">
        <f aca="false">COUNTIF(Alimenti!AU2:AU182,1)</f>
        <v>1</v>
      </c>
      <c r="E15" s="26" t="n">
        <f aca="false">COUNTIF(Alimenti!AU2:AU182,2)</f>
        <v>0</v>
      </c>
    </row>
    <row r="16" customFormat="false" ht="15" hidden="false" customHeight="false" outlineLevel="0" collapsed="false">
      <c r="A16" s="26" t="s">
        <v>47</v>
      </c>
      <c r="B16" s="26" t="s">
        <v>398</v>
      </c>
      <c r="C16" s="39"/>
      <c r="D16" s="26" t="n">
        <f aca="false">COUNTIF(Alimenti!AV2:AV182,1)</f>
        <v>1</v>
      </c>
      <c r="E16" s="26" t="n">
        <f aca="false">COUNTIF(Alimenti!AV2:AV182,2)</f>
        <v>0</v>
      </c>
    </row>
    <row r="17" customFormat="false" ht="15" hidden="false" customHeight="false" outlineLevel="0" collapsed="false">
      <c r="A17" s="26" t="s">
        <v>48</v>
      </c>
      <c r="B17" s="26" t="s">
        <v>516</v>
      </c>
      <c r="C17" s="40"/>
      <c r="D17" s="26" t="n">
        <f aca="false">COUNTIF(Alimenti!AW2:AW182,1)</f>
        <v>1</v>
      </c>
      <c r="E17" s="26" t="n">
        <f aca="false">COUNTIF(Alimenti!AW2:AW182,2)</f>
        <v>1</v>
      </c>
    </row>
    <row r="18" customFormat="false" ht="15" hidden="false" customHeight="false" outlineLevel="0" collapsed="false">
      <c r="A18" s="26" t="s">
        <v>49</v>
      </c>
      <c r="B18" s="26" t="s">
        <v>517</v>
      </c>
      <c r="C18" s="41"/>
      <c r="D18" s="26" t="n">
        <f aca="false">COUNTIF(Alimenti!AX2:AX182,1)</f>
        <v>1</v>
      </c>
      <c r="E18" s="26" t="n">
        <f aca="false">COUNTIF(Alimenti!AX2:AX182,2)</f>
        <v>0</v>
      </c>
    </row>
    <row r="19" customFormat="false" ht="15" hidden="false" customHeight="false" outlineLevel="0" collapsed="false">
      <c r="A19" s="26" t="s">
        <v>50</v>
      </c>
      <c r="B19" s="26" t="s">
        <v>518</v>
      </c>
      <c r="C19" s="42"/>
      <c r="D19" s="26" t="n">
        <f aca="false">COUNTIF(Alimenti!AY2:AY182,1)</f>
        <v>57</v>
      </c>
      <c r="E19" s="26" t="n">
        <f aca="false">COUNTIF(Alimenti!AY2:AY182,2)</f>
        <v>0</v>
      </c>
    </row>
    <row r="20" customFormat="false" ht="15" hidden="false" customHeight="false" outlineLevel="0" collapsed="false">
      <c r="A20" s="26" t="s">
        <v>51</v>
      </c>
      <c r="B20" s="26" t="s">
        <v>519</v>
      </c>
      <c r="C20" s="43"/>
      <c r="D20" s="26" t="n">
        <f aca="false">COUNTIF(Alimenti!AZ2:AZ182,1)</f>
        <v>56</v>
      </c>
      <c r="E20" s="26" t="n">
        <f aca="false">COUNTIF(Alimenti!AZ2:AZ182,2)</f>
        <v>0</v>
      </c>
    </row>
    <row r="22" customFormat="false" ht="15" hidden="false" customHeight="false" outlineLevel="0" collapsed="false">
      <c r="A22" s="26" t="s">
        <v>520</v>
      </c>
    </row>
    <row r="23" customFormat="false" ht="15" hidden="false" customHeight="false" outlineLevel="0" collapsed="false">
      <c r="A23" s="26" t="s">
        <v>521</v>
      </c>
    </row>
    <row r="24" customFormat="false" ht="15" hidden="false" customHeight="false" outlineLevel="0" collapsed="false">
      <c r="A24" s="26" t="s">
        <v>522</v>
      </c>
    </row>
    <row r="25" customFormat="false" ht="15" hidden="false" customHeight="false" outlineLevel="0" collapsed="false">
      <c r="A25" s="26" t="s">
        <v>523</v>
      </c>
    </row>
    <row r="26" customFormat="false" ht="15" hidden="false" customHeight="false" outlineLevel="0" collapsed="false">
      <c r="A26" s="26" t="s">
        <v>524</v>
      </c>
    </row>
    <row r="27" customFormat="false" ht="15" hidden="false" customHeight="false" outlineLevel="0" collapsed="false">
      <c r="A27" s="26"/>
    </row>
    <row r="28" customFormat="false" ht="15" hidden="false" customHeight="false" outlineLevel="0" collapsed="false">
      <c r="A28" s="44" t="s">
        <v>525</v>
      </c>
    </row>
    <row r="29" customFormat="false" ht="15" hidden="false" customHeight="false" outlineLevel="0" collapsed="false">
      <c r="A29" s="26" t="s">
        <v>526</v>
      </c>
    </row>
    <row r="30" customFormat="false" ht="15" hidden="false" customHeight="false" outlineLevel="0" collapsed="false">
      <c r="A30" s="26" t="s">
        <v>527</v>
      </c>
    </row>
    <row r="31" customFormat="false" ht="15" hidden="false" customHeight="false" outlineLevel="0" collapsed="false">
      <c r="A31" s="26" t="s">
        <v>528</v>
      </c>
    </row>
    <row r="32" customFormat="false" ht="15" hidden="false" customHeight="false" outlineLevel="0" collapsed="false">
      <c r="A32" s="26" t="s">
        <v>529</v>
      </c>
    </row>
    <row r="33" customFormat="false" ht="15" hidden="false" customHeight="false" outlineLevel="0" collapsed="false">
      <c r="A33" s="26"/>
    </row>
    <row r="34" customFormat="false" ht="15" hidden="false" customHeight="false" outlineLevel="0" collapsed="false">
      <c r="A34" s="44" t="s">
        <v>530</v>
      </c>
    </row>
    <row r="35" customFormat="false" ht="15" hidden="false" customHeight="false" outlineLevel="0" collapsed="false">
      <c r="A35" s="26" t="s">
        <v>531</v>
      </c>
    </row>
    <row r="36" customFormat="false" ht="15" hidden="false" customHeight="false" outlineLevel="0" collapsed="false">
      <c r="A36" s="26" t="s">
        <v>532</v>
      </c>
    </row>
    <row r="37" customFormat="false" ht="15" hidden="false" customHeight="false" outlineLevel="0" collapsed="false">
      <c r="A37" s="26" t="s">
        <v>533</v>
      </c>
    </row>
    <row r="38" customFormat="false" ht="15" hidden="false" customHeight="false" outlineLevel="0" collapsed="false">
      <c r="A38" s="26" t="s">
        <v>534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8"/>
    <col collapsed="false" customWidth="true" hidden="false" outlineLevel="0" max="3" min="3" style="0" width="32"/>
    <col collapsed="false" customWidth="true" hidden="false" outlineLevel="0" max="4" min="4" style="0" width="10"/>
    <col collapsed="false" customWidth="true" hidden="false" outlineLevel="0" max="5" min="5" style="0" width="70"/>
  </cols>
  <sheetData>
    <row r="1" customFormat="false" ht="15" hidden="false" customHeight="false" outlineLevel="0" collapsed="false">
      <c r="A1" s="25" t="s">
        <v>535</v>
      </c>
      <c r="B1" s="25" t="s">
        <v>536</v>
      </c>
      <c r="C1" s="25" t="s">
        <v>537</v>
      </c>
      <c r="D1" s="25" t="s">
        <v>538</v>
      </c>
      <c r="E1" s="25" t="s">
        <v>539</v>
      </c>
    </row>
    <row r="2" customFormat="false" ht="15" hidden="false" customHeight="false" outlineLevel="0" collapsed="false">
      <c r="A2" s="26" t="s">
        <v>0</v>
      </c>
      <c r="B2" s="26" t="s">
        <v>540</v>
      </c>
      <c r="C2" s="26" t="s">
        <v>541</v>
      </c>
      <c r="D2" s="26" t="s">
        <v>542</v>
      </c>
      <c r="E2" s="26"/>
    </row>
    <row r="3" customFormat="false" ht="15" hidden="false" customHeight="false" outlineLevel="0" collapsed="false">
      <c r="A3" s="26" t="s">
        <v>1</v>
      </c>
      <c r="B3" s="26" t="s">
        <v>543</v>
      </c>
      <c r="C3" s="26" t="s">
        <v>544</v>
      </c>
      <c r="D3" s="26" t="s">
        <v>1</v>
      </c>
      <c r="E3" s="26"/>
    </row>
    <row r="4" customFormat="false" ht="15" hidden="false" customHeight="false" outlineLevel="0" collapsed="false">
      <c r="A4" s="26" t="s">
        <v>2</v>
      </c>
      <c r="B4" s="26" t="s">
        <v>545</v>
      </c>
      <c r="C4" s="26" t="s">
        <v>546</v>
      </c>
      <c r="D4" s="26" t="s">
        <v>547</v>
      </c>
      <c r="E4" s="26" t="s">
        <v>548</v>
      </c>
    </row>
    <row r="5" customFormat="false" ht="15" hidden="false" customHeight="false" outlineLevel="0" collapsed="false">
      <c r="A5" s="26" t="s">
        <v>3</v>
      </c>
      <c r="B5" s="26" t="s">
        <v>549</v>
      </c>
      <c r="C5" s="26" t="s">
        <v>550</v>
      </c>
      <c r="D5" s="26" t="s">
        <v>547</v>
      </c>
      <c r="E5" s="26"/>
    </row>
    <row r="6" customFormat="false" ht="15" hidden="false" customHeight="false" outlineLevel="0" collapsed="false">
      <c r="A6" s="26" t="s">
        <v>4</v>
      </c>
      <c r="B6" s="26" t="s">
        <v>551</v>
      </c>
      <c r="C6" s="26" t="s">
        <v>552</v>
      </c>
      <c r="D6" s="26" t="s">
        <v>547</v>
      </c>
      <c r="E6" s="26"/>
    </row>
    <row r="7" customFormat="false" ht="15" hidden="false" customHeight="false" outlineLevel="0" collapsed="false">
      <c r="A7" s="26" t="s">
        <v>5</v>
      </c>
      <c r="B7" s="26" t="s">
        <v>553</v>
      </c>
      <c r="C7" s="26" t="s">
        <v>554</v>
      </c>
      <c r="D7" s="26" t="s">
        <v>547</v>
      </c>
      <c r="E7" s="26" t="s">
        <v>555</v>
      </c>
    </row>
    <row r="8" customFormat="false" ht="15" hidden="false" customHeight="false" outlineLevel="0" collapsed="false">
      <c r="A8" s="26" t="s">
        <v>6</v>
      </c>
      <c r="B8" s="26" t="s">
        <v>556</v>
      </c>
      <c r="C8" s="26" t="s">
        <v>557</v>
      </c>
      <c r="D8" s="26" t="s">
        <v>547</v>
      </c>
      <c r="E8" s="26" t="s">
        <v>558</v>
      </c>
    </row>
    <row r="9" customFormat="false" ht="15" hidden="false" customHeight="false" outlineLevel="0" collapsed="false">
      <c r="A9" s="26" t="s">
        <v>7</v>
      </c>
      <c r="B9" s="26" t="s">
        <v>559</v>
      </c>
      <c r="C9" s="26" t="s">
        <v>560</v>
      </c>
      <c r="D9" s="26" t="s">
        <v>547</v>
      </c>
      <c r="E9" s="26" t="s">
        <v>561</v>
      </c>
    </row>
    <row r="10" customFormat="false" ht="15" hidden="false" customHeight="false" outlineLevel="0" collapsed="false">
      <c r="A10" s="26" t="s">
        <v>8</v>
      </c>
      <c r="B10" s="26" t="s">
        <v>562</v>
      </c>
      <c r="C10" s="26" t="s">
        <v>563</v>
      </c>
      <c r="D10" s="26" t="s">
        <v>547</v>
      </c>
      <c r="E10" s="26" t="s">
        <v>564</v>
      </c>
    </row>
    <row r="11" customFormat="false" ht="15" hidden="false" customHeight="false" outlineLevel="0" collapsed="false">
      <c r="A11" s="26" t="s">
        <v>9</v>
      </c>
      <c r="B11" s="26" t="s">
        <v>565</v>
      </c>
      <c r="C11" s="26" t="s">
        <v>566</v>
      </c>
      <c r="D11" s="26" t="s">
        <v>547</v>
      </c>
      <c r="E11" s="26" t="s">
        <v>567</v>
      </c>
    </row>
    <row r="12" customFormat="false" ht="15" hidden="false" customHeight="false" outlineLevel="0" collapsed="false">
      <c r="A12" s="26" t="s">
        <v>10</v>
      </c>
      <c r="B12" s="26" t="s">
        <v>568</v>
      </c>
      <c r="C12" s="26" t="s">
        <v>569</v>
      </c>
      <c r="D12" s="26" t="s">
        <v>570</v>
      </c>
      <c r="E12" s="26"/>
    </row>
    <row r="13" customFormat="false" ht="15" hidden="false" customHeight="false" outlineLevel="0" collapsed="false">
      <c r="A13" s="26" t="s">
        <v>11</v>
      </c>
      <c r="B13" s="26" t="s">
        <v>571</v>
      </c>
      <c r="C13" s="26" t="s">
        <v>572</v>
      </c>
      <c r="D13" s="26" t="s">
        <v>570</v>
      </c>
      <c r="E13" s="26" t="s">
        <v>573</v>
      </c>
    </row>
    <row r="14" customFormat="false" ht="15" hidden="false" customHeight="false" outlineLevel="0" collapsed="false">
      <c r="A14" s="26" t="s">
        <v>12</v>
      </c>
      <c r="B14" s="26" t="s">
        <v>574</v>
      </c>
      <c r="C14" s="26" t="s">
        <v>575</v>
      </c>
      <c r="D14" s="26" t="s">
        <v>570</v>
      </c>
      <c r="E14" s="26"/>
    </row>
    <row r="15" customFormat="false" ht="15" hidden="false" customHeight="false" outlineLevel="0" collapsed="false">
      <c r="A15" s="26" t="s">
        <v>13</v>
      </c>
      <c r="B15" s="26" t="s">
        <v>576</v>
      </c>
      <c r="C15" s="26" t="s">
        <v>577</v>
      </c>
      <c r="D15" s="26" t="s">
        <v>570</v>
      </c>
      <c r="E15" s="26"/>
    </row>
    <row r="16" customFormat="false" ht="15" hidden="false" customHeight="false" outlineLevel="0" collapsed="false">
      <c r="A16" s="26" t="s">
        <v>14</v>
      </c>
      <c r="B16" s="26" t="s">
        <v>578</v>
      </c>
      <c r="C16" s="26" t="s">
        <v>579</v>
      </c>
      <c r="D16" s="26" t="s">
        <v>570</v>
      </c>
      <c r="E16" s="26"/>
    </row>
    <row r="17" customFormat="false" ht="15" hidden="false" customHeight="false" outlineLevel="0" collapsed="false">
      <c r="A17" s="26" t="s">
        <v>15</v>
      </c>
      <c r="B17" s="26" t="s">
        <v>580</v>
      </c>
      <c r="C17" s="26" t="s">
        <v>581</v>
      </c>
      <c r="D17" s="26" t="s">
        <v>570</v>
      </c>
      <c r="E17" s="26"/>
    </row>
    <row r="18" customFormat="false" ht="15" hidden="false" customHeight="false" outlineLevel="0" collapsed="false">
      <c r="A18" s="26" t="s">
        <v>16</v>
      </c>
      <c r="B18" s="26" t="s">
        <v>582</v>
      </c>
      <c r="C18" s="26" t="s">
        <v>583</v>
      </c>
      <c r="D18" s="26" t="s">
        <v>570</v>
      </c>
      <c r="E18" s="26"/>
    </row>
    <row r="19" customFormat="false" ht="15" hidden="false" customHeight="false" outlineLevel="0" collapsed="false">
      <c r="A19" s="26" t="s">
        <v>17</v>
      </c>
      <c r="B19" s="26" t="s">
        <v>584</v>
      </c>
      <c r="C19" s="26" t="s">
        <v>585</v>
      </c>
      <c r="D19" s="26" t="s">
        <v>570</v>
      </c>
      <c r="E19" s="26"/>
    </row>
    <row r="20" customFormat="false" ht="15" hidden="false" customHeight="false" outlineLevel="0" collapsed="false">
      <c r="A20" s="26" t="s">
        <v>18</v>
      </c>
      <c r="B20" s="26" t="s">
        <v>586</v>
      </c>
      <c r="C20" s="26" t="s">
        <v>587</v>
      </c>
      <c r="D20" s="26" t="s">
        <v>588</v>
      </c>
      <c r="E20" s="26" t="s">
        <v>589</v>
      </c>
    </row>
    <row r="21" customFormat="false" ht="15" hidden="false" customHeight="false" outlineLevel="0" collapsed="false">
      <c r="A21" s="26" t="s">
        <v>19</v>
      </c>
      <c r="B21" s="26" t="s">
        <v>590</v>
      </c>
      <c r="C21" s="26" t="s">
        <v>591</v>
      </c>
      <c r="D21" s="26" t="s">
        <v>570</v>
      </c>
      <c r="E21" s="26"/>
    </row>
    <row r="22" customFormat="false" ht="15" hidden="false" customHeight="false" outlineLevel="0" collapsed="false">
      <c r="A22" s="26" t="s">
        <v>20</v>
      </c>
      <c r="B22" s="26" t="s">
        <v>592</v>
      </c>
      <c r="C22" s="26" t="s">
        <v>593</v>
      </c>
      <c r="D22" s="26" t="s">
        <v>594</v>
      </c>
      <c r="E22" s="26" t="s">
        <v>595</v>
      </c>
    </row>
    <row r="23" customFormat="false" ht="15" hidden="false" customHeight="false" outlineLevel="0" collapsed="false">
      <c r="A23" s="26" t="s">
        <v>21</v>
      </c>
      <c r="B23" s="26" t="s">
        <v>596</v>
      </c>
      <c r="C23" s="26" t="s">
        <v>597</v>
      </c>
      <c r="D23" s="26" t="s">
        <v>570</v>
      </c>
      <c r="E23" s="26" t="s">
        <v>598</v>
      </c>
    </row>
    <row r="24" customFormat="false" ht="15" hidden="false" customHeight="false" outlineLevel="0" collapsed="false">
      <c r="A24" s="26" t="s">
        <v>22</v>
      </c>
      <c r="B24" s="26" t="s">
        <v>599</v>
      </c>
      <c r="C24" s="26" t="s">
        <v>600</v>
      </c>
      <c r="D24" s="26" t="s">
        <v>570</v>
      </c>
      <c r="E24" s="26"/>
    </row>
    <row r="25" customFormat="false" ht="15" hidden="false" customHeight="false" outlineLevel="0" collapsed="false">
      <c r="A25" s="26" t="s">
        <v>23</v>
      </c>
      <c r="B25" s="26" t="s">
        <v>601</v>
      </c>
      <c r="C25" s="26" t="s">
        <v>602</v>
      </c>
      <c r="D25" s="26" t="s">
        <v>570</v>
      </c>
      <c r="E25" s="26"/>
    </row>
    <row r="26" customFormat="false" ht="15" hidden="false" customHeight="false" outlineLevel="0" collapsed="false">
      <c r="A26" s="26" t="s">
        <v>24</v>
      </c>
      <c r="B26" s="26" t="s">
        <v>603</v>
      </c>
      <c r="C26" s="26" t="s">
        <v>604</v>
      </c>
      <c r="D26" s="26" t="s">
        <v>570</v>
      </c>
      <c r="E26" s="26"/>
    </row>
    <row r="27" customFormat="false" ht="15" hidden="false" customHeight="false" outlineLevel="0" collapsed="false">
      <c r="A27" s="26" t="s">
        <v>25</v>
      </c>
      <c r="B27" s="26" t="s">
        <v>605</v>
      </c>
      <c r="C27" s="26" t="s">
        <v>606</v>
      </c>
      <c r="D27" s="26" t="s">
        <v>570</v>
      </c>
      <c r="E27" s="26"/>
    </row>
    <row r="28" customFormat="false" ht="15" hidden="false" customHeight="false" outlineLevel="0" collapsed="false">
      <c r="A28" s="26" t="s">
        <v>26</v>
      </c>
      <c r="B28" s="26" t="s">
        <v>607</v>
      </c>
      <c r="C28" s="26" t="s">
        <v>608</v>
      </c>
      <c r="D28" s="26" t="s">
        <v>609</v>
      </c>
      <c r="E28" s="26" t="s">
        <v>610</v>
      </c>
    </row>
    <row r="29" customFormat="false" ht="15" hidden="false" customHeight="false" outlineLevel="0" collapsed="false">
      <c r="A29" s="26" t="s">
        <v>27</v>
      </c>
      <c r="B29" s="26" t="s">
        <v>611</v>
      </c>
      <c r="C29" s="26" t="s">
        <v>612</v>
      </c>
      <c r="D29" s="26" t="s">
        <v>594</v>
      </c>
      <c r="E29" s="26"/>
    </row>
    <row r="30" customFormat="false" ht="15" hidden="false" customHeight="false" outlineLevel="0" collapsed="false">
      <c r="A30" s="26" t="s">
        <v>28</v>
      </c>
      <c r="B30" s="26" t="s">
        <v>613</v>
      </c>
      <c r="C30" s="26" t="s">
        <v>614</v>
      </c>
      <c r="D30" s="26" t="s">
        <v>542</v>
      </c>
      <c r="E30" s="26" t="s">
        <v>615</v>
      </c>
    </row>
    <row r="31" customFormat="false" ht="15" hidden="false" customHeight="false" outlineLevel="0" collapsed="false">
      <c r="A31" s="26" t="s">
        <v>29</v>
      </c>
      <c r="B31" s="26" t="s">
        <v>616</v>
      </c>
      <c r="C31" s="26" t="s">
        <v>617</v>
      </c>
      <c r="D31" s="26" t="s">
        <v>542</v>
      </c>
      <c r="E31" s="26" t="s">
        <v>618</v>
      </c>
    </row>
    <row r="32" customFormat="false" ht="15" hidden="false" customHeight="false" outlineLevel="0" collapsed="false">
      <c r="A32" s="26" t="s">
        <v>30</v>
      </c>
      <c r="B32" s="26" t="s">
        <v>619</v>
      </c>
      <c r="C32" s="26" t="s">
        <v>620</v>
      </c>
      <c r="D32" s="26" t="s">
        <v>542</v>
      </c>
      <c r="E32" s="26" t="s">
        <v>621</v>
      </c>
    </row>
    <row r="33" customFormat="false" ht="15" hidden="false" customHeight="false" outlineLevel="0" collapsed="false">
      <c r="A33" s="26" t="s">
        <v>31</v>
      </c>
      <c r="B33" s="26" t="s">
        <v>622</v>
      </c>
      <c r="C33" s="26" t="s">
        <v>623</v>
      </c>
      <c r="D33" s="26" t="s">
        <v>542</v>
      </c>
      <c r="E33" s="26" t="s">
        <v>624</v>
      </c>
    </row>
    <row r="34" customFormat="false" ht="15" hidden="false" customHeight="false" outlineLevel="0" collapsed="false">
      <c r="A34" s="26" t="s">
        <v>32</v>
      </c>
      <c r="B34" s="26" t="s">
        <v>625</v>
      </c>
      <c r="C34" s="26" t="s">
        <v>626</v>
      </c>
      <c r="D34" s="26" t="s">
        <v>627</v>
      </c>
      <c r="E34" s="26" t="s">
        <v>628</v>
      </c>
    </row>
    <row r="35" customFormat="false" ht="15" hidden="false" customHeight="false" outlineLevel="0" collapsed="false">
      <c r="A35" s="26" t="s">
        <v>33</v>
      </c>
      <c r="B35" s="26" t="s">
        <v>629</v>
      </c>
      <c r="C35" s="26" t="s">
        <v>630</v>
      </c>
      <c r="D35" s="26" t="s">
        <v>547</v>
      </c>
      <c r="E35" s="26" t="s">
        <v>631</v>
      </c>
    </row>
    <row r="36" customFormat="false" ht="15" hidden="false" customHeight="false" outlineLevel="0" collapsed="false">
      <c r="A36" s="26" t="s">
        <v>34</v>
      </c>
      <c r="B36" s="26" t="s">
        <v>632</v>
      </c>
      <c r="C36" s="26" t="s">
        <v>633</v>
      </c>
      <c r="D36" s="26" t="s">
        <v>542</v>
      </c>
      <c r="E36" s="26"/>
    </row>
    <row r="37" customFormat="false" ht="15" hidden="false" customHeight="false" outlineLevel="0" collapsed="false">
      <c r="A37" s="26" t="s">
        <v>35</v>
      </c>
      <c r="B37" s="26" t="s">
        <v>634</v>
      </c>
      <c r="C37" s="26" t="s">
        <v>508</v>
      </c>
      <c r="D37" s="26" t="s">
        <v>635</v>
      </c>
      <c r="E37" s="26" t="s">
        <v>636</v>
      </c>
    </row>
    <row r="38" customFormat="false" ht="15" hidden="false" customHeight="false" outlineLevel="0" collapsed="false">
      <c r="A38" s="26" t="s">
        <v>36</v>
      </c>
      <c r="B38" s="26" t="s">
        <v>637</v>
      </c>
      <c r="C38" s="26" t="s">
        <v>509</v>
      </c>
      <c r="D38" s="26" t="s">
        <v>635</v>
      </c>
      <c r="E38" s="26" t="s">
        <v>636</v>
      </c>
    </row>
    <row r="39" customFormat="false" ht="15" hidden="false" customHeight="false" outlineLevel="0" collapsed="false">
      <c r="A39" s="26" t="s">
        <v>37</v>
      </c>
      <c r="B39" s="26" t="s">
        <v>638</v>
      </c>
      <c r="C39" s="26" t="s">
        <v>510</v>
      </c>
      <c r="D39" s="26" t="s">
        <v>635</v>
      </c>
      <c r="E39" s="26" t="s">
        <v>636</v>
      </c>
    </row>
    <row r="40" customFormat="false" ht="15" hidden="false" customHeight="false" outlineLevel="0" collapsed="false">
      <c r="A40" s="26" t="s">
        <v>38</v>
      </c>
      <c r="B40" s="26" t="s">
        <v>639</v>
      </c>
      <c r="C40" s="26" t="s">
        <v>109</v>
      </c>
      <c r="D40" s="26" t="s">
        <v>635</v>
      </c>
      <c r="E40" s="26" t="s">
        <v>636</v>
      </c>
    </row>
    <row r="41" customFormat="false" ht="15" hidden="false" customHeight="false" outlineLevel="0" collapsed="false">
      <c r="A41" s="26" t="s">
        <v>39</v>
      </c>
      <c r="B41" s="26" t="s">
        <v>640</v>
      </c>
      <c r="C41" s="26" t="s">
        <v>153</v>
      </c>
      <c r="D41" s="26" t="s">
        <v>635</v>
      </c>
      <c r="E41" s="26" t="s">
        <v>636</v>
      </c>
    </row>
    <row r="42" customFormat="false" ht="15" hidden="false" customHeight="false" outlineLevel="0" collapsed="false">
      <c r="A42" s="26" t="s">
        <v>40</v>
      </c>
      <c r="B42" s="26" t="s">
        <v>641</v>
      </c>
      <c r="C42" s="26" t="s">
        <v>511</v>
      </c>
      <c r="D42" s="26" t="s">
        <v>635</v>
      </c>
      <c r="E42" s="26" t="s">
        <v>636</v>
      </c>
    </row>
    <row r="43" customFormat="false" ht="15" hidden="false" customHeight="false" outlineLevel="0" collapsed="false">
      <c r="A43" s="26" t="s">
        <v>41</v>
      </c>
      <c r="B43" s="26" t="s">
        <v>642</v>
      </c>
      <c r="C43" s="26" t="s">
        <v>512</v>
      </c>
      <c r="D43" s="26" t="s">
        <v>635</v>
      </c>
      <c r="E43" s="26" t="s">
        <v>636</v>
      </c>
    </row>
    <row r="44" customFormat="false" ht="15" hidden="false" customHeight="false" outlineLevel="0" collapsed="false">
      <c r="A44" s="26" t="s">
        <v>42</v>
      </c>
      <c r="B44" s="26" t="s">
        <v>643</v>
      </c>
      <c r="C44" s="26" t="s">
        <v>513</v>
      </c>
      <c r="D44" s="26" t="s">
        <v>635</v>
      </c>
      <c r="E44" s="26" t="s">
        <v>636</v>
      </c>
    </row>
    <row r="45" customFormat="false" ht="15" hidden="false" customHeight="false" outlineLevel="0" collapsed="false">
      <c r="A45" s="26" t="s">
        <v>43</v>
      </c>
      <c r="B45" s="26" t="s">
        <v>644</v>
      </c>
      <c r="C45" s="26" t="s">
        <v>369</v>
      </c>
      <c r="D45" s="26" t="s">
        <v>635</v>
      </c>
      <c r="E45" s="26" t="s">
        <v>636</v>
      </c>
    </row>
    <row r="46" customFormat="false" ht="15" hidden="false" customHeight="false" outlineLevel="0" collapsed="false">
      <c r="A46" s="26" t="s">
        <v>44</v>
      </c>
      <c r="B46" s="26" t="s">
        <v>645</v>
      </c>
      <c r="C46" s="26" t="s">
        <v>514</v>
      </c>
      <c r="D46" s="26" t="s">
        <v>635</v>
      </c>
      <c r="E46" s="26" t="s">
        <v>636</v>
      </c>
    </row>
    <row r="47" customFormat="false" ht="15" hidden="false" customHeight="false" outlineLevel="0" collapsed="false">
      <c r="A47" s="26" t="s">
        <v>45</v>
      </c>
      <c r="B47" s="26" t="s">
        <v>646</v>
      </c>
      <c r="C47" s="26" t="s">
        <v>515</v>
      </c>
      <c r="D47" s="26" t="s">
        <v>635</v>
      </c>
      <c r="E47" s="26" t="s">
        <v>636</v>
      </c>
    </row>
    <row r="48" customFormat="false" ht="15" hidden="false" customHeight="false" outlineLevel="0" collapsed="false">
      <c r="A48" s="26" t="s">
        <v>46</v>
      </c>
      <c r="B48" s="26" t="s">
        <v>647</v>
      </c>
      <c r="C48" s="26" t="s">
        <v>484</v>
      </c>
      <c r="D48" s="26" t="s">
        <v>635</v>
      </c>
      <c r="E48" s="26" t="s">
        <v>636</v>
      </c>
    </row>
    <row r="49" customFormat="false" ht="15" hidden="false" customHeight="false" outlineLevel="0" collapsed="false">
      <c r="A49" s="26" t="s">
        <v>47</v>
      </c>
      <c r="B49" s="26" t="s">
        <v>648</v>
      </c>
      <c r="C49" s="26" t="s">
        <v>398</v>
      </c>
      <c r="D49" s="26" t="s">
        <v>635</v>
      </c>
      <c r="E49" s="26" t="s">
        <v>636</v>
      </c>
    </row>
    <row r="50" customFormat="false" ht="15" hidden="false" customHeight="false" outlineLevel="0" collapsed="false">
      <c r="A50" s="26" t="s">
        <v>48</v>
      </c>
      <c r="B50" s="26" t="s">
        <v>649</v>
      </c>
      <c r="C50" s="26" t="s">
        <v>516</v>
      </c>
      <c r="D50" s="26" t="s">
        <v>635</v>
      </c>
      <c r="E50" s="26" t="s">
        <v>636</v>
      </c>
    </row>
    <row r="51" customFormat="false" ht="15" hidden="false" customHeight="false" outlineLevel="0" collapsed="false">
      <c r="A51" s="26" t="s">
        <v>49</v>
      </c>
      <c r="B51" s="26" t="s">
        <v>650</v>
      </c>
      <c r="C51" s="26" t="s">
        <v>517</v>
      </c>
      <c r="D51" s="26" t="s">
        <v>635</v>
      </c>
      <c r="E51" s="26" t="s">
        <v>636</v>
      </c>
    </row>
    <row r="52" customFormat="false" ht="15" hidden="false" customHeight="false" outlineLevel="0" collapsed="false">
      <c r="A52" s="26" t="s">
        <v>50</v>
      </c>
      <c r="B52" s="26" t="s">
        <v>651</v>
      </c>
      <c r="C52" s="26" t="s">
        <v>518</v>
      </c>
      <c r="D52" s="26" t="s">
        <v>635</v>
      </c>
      <c r="E52" s="26" t="s">
        <v>636</v>
      </c>
    </row>
    <row r="53" customFormat="false" ht="15" hidden="false" customHeight="false" outlineLevel="0" collapsed="false">
      <c r="A53" s="26" t="s">
        <v>51</v>
      </c>
      <c r="B53" s="26" t="s">
        <v>652</v>
      </c>
      <c r="C53" s="26" t="s">
        <v>519</v>
      </c>
      <c r="D53" s="26" t="s">
        <v>635</v>
      </c>
      <c r="E53" s="26" t="s">
        <v>636</v>
      </c>
    </row>
    <row r="54" customFormat="false" ht="15" hidden="false" customHeight="false" outlineLevel="0" collapsed="false">
      <c r="A54" s="26" t="s">
        <v>52</v>
      </c>
      <c r="B54" s="26" t="s">
        <v>653</v>
      </c>
      <c r="C54" s="26" t="s">
        <v>654</v>
      </c>
      <c r="D54" s="26" t="s">
        <v>542</v>
      </c>
      <c r="E54" s="26" t="s">
        <v>655</v>
      </c>
    </row>
    <row r="55" customFormat="false" ht="15" hidden="false" customHeight="false" outlineLevel="0" collapsed="false">
      <c r="A55" s="26" t="s">
        <v>53</v>
      </c>
      <c r="B55" s="26" t="s">
        <v>656</v>
      </c>
      <c r="C55" s="26" t="s">
        <v>657</v>
      </c>
      <c r="D55" s="26" t="s">
        <v>1</v>
      </c>
      <c r="E55" s="26" t="s">
        <v>658</v>
      </c>
    </row>
    <row r="56" customFormat="false" ht="15" hidden="false" customHeight="false" outlineLevel="0" collapsed="false">
      <c r="A56" s="26" t="s">
        <v>54</v>
      </c>
      <c r="B56" s="26" t="s">
        <v>659</v>
      </c>
      <c r="C56" s="26" t="s">
        <v>660</v>
      </c>
      <c r="D56" s="26" t="s">
        <v>542</v>
      </c>
      <c r="E56" s="26"/>
    </row>
    <row r="57" customFormat="false" ht="15" hidden="false" customHeight="false" outlineLevel="0" collapsed="false">
      <c r="A57" s="26" t="s">
        <v>55</v>
      </c>
      <c r="B57" s="26" t="s">
        <v>661</v>
      </c>
      <c r="C57" s="26" t="s">
        <v>662</v>
      </c>
      <c r="D57" s="26" t="s">
        <v>542</v>
      </c>
      <c r="E57" s="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34"/>
    <col collapsed="false" customWidth="true" hidden="false" outlineLevel="0" max="4" min="4" style="0" width="12"/>
  </cols>
  <sheetData>
    <row r="1" customFormat="false" ht="15" hidden="false" customHeight="false" outlineLevel="0" collapsed="false">
      <c r="A1" s="25" t="s">
        <v>663</v>
      </c>
      <c r="B1" s="25" t="s">
        <v>28</v>
      </c>
      <c r="C1" s="25" t="s">
        <v>664</v>
      </c>
      <c r="D1" s="25" t="s">
        <v>665</v>
      </c>
    </row>
    <row r="2" customFormat="false" ht="15" hidden="false" customHeight="false" outlineLevel="0" collapsed="false">
      <c r="A2" s="26" t="n">
        <v>1</v>
      </c>
      <c r="B2" s="26" t="s">
        <v>57</v>
      </c>
      <c r="C2" s="26" t="s">
        <v>666</v>
      </c>
      <c r="D2" s="26" t="n">
        <f aca="false">COUNTIF(Alimenti!AC2:AC182,B2)</f>
        <v>17</v>
      </c>
    </row>
    <row r="3" customFormat="false" ht="15" hidden="false" customHeight="false" outlineLevel="0" collapsed="false">
      <c r="A3" s="26" t="n">
        <v>2</v>
      </c>
      <c r="B3" s="26" t="s">
        <v>109</v>
      </c>
      <c r="C3" s="26" t="s">
        <v>667</v>
      </c>
      <c r="D3" s="26" t="n">
        <f aca="false">COUNTIF(Alimenti!AC2:AC182,B3)</f>
        <v>4</v>
      </c>
    </row>
    <row r="4" customFormat="false" ht="15" hidden="false" customHeight="false" outlineLevel="0" collapsed="false">
      <c r="A4" s="26" t="n">
        <v>3</v>
      </c>
      <c r="B4" s="26" t="s">
        <v>122</v>
      </c>
      <c r="C4" s="26" t="s">
        <v>668</v>
      </c>
      <c r="D4" s="26" t="n">
        <f aca="false">COUNTIF(Alimenti!AC2:AC182,B4)</f>
        <v>10</v>
      </c>
    </row>
    <row r="5" customFormat="false" ht="15" hidden="false" customHeight="false" outlineLevel="0" collapsed="false">
      <c r="A5" s="26" t="n">
        <v>4</v>
      </c>
      <c r="B5" s="26" t="s">
        <v>143</v>
      </c>
      <c r="C5" s="26" t="s">
        <v>669</v>
      </c>
      <c r="D5" s="26" t="n">
        <f aca="false">COUNTIF(Alimenti!AC2:AC182,B5)</f>
        <v>4</v>
      </c>
    </row>
    <row r="6" customFormat="false" ht="15" hidden="false" customHeight="false" outlineLevel="0" collapsed="false">
      <c r="A6" s="26" t="n">
        <v>5</v>
      </c>
      <c r="B6" s="26" t="s">
        <v>153</v>
      </c>
      <c r="C6" s="26" t="s">
        <v>670</v>
      </c>
      <c r="D6" s="26" t="n">
        <f aca="false">COUNTIF(Alimenti!AC2:AC182,B6)</f>
        <v>16</v>
      </c>
    </row>
    <row r="7" customFormat="false" ht="15" hidden="false" customHeight="false" outlineLevel="0" collapsed="false">
      <c r="A7" s="26" t="n">
        <v>6</v>
      </c>
      <c r="B7" s="26" t="s">
        <v>193</v>
      </c>
      <c r="C7" s="26" t="s">
        <v>671</v>
      </c>
      <c r="D7" s="26" t="n">
        <f aca="false">COUNTIF(Alimenti!AC2:AC182,B7)</f>
        <v>6</v>
      </c>
    </row>
    <row r="8" customFormat="false" ht="15" hidden="false" customHeight="false" outlineLevel="0" collapsed="false">
      <c r="A8" s="26" t="n">
        <v>7</v>
      </c>
      <c r="B8" s="26" t="s">
        <v>206</v>
      </c>
      <c r="C8" s="26" t="s">
        <v>672</v>
      </c>
      <c r="D8" s="26" t="n">
        <f aca="false">COUNTIF(Alimenti!AC2:AC182,B8)</f>
        <v>6</v>
      </c>
    </row>
    <row r="9" customFormat="false" ht="15" hidden="false" customHeight="false" outlineLevel="0" collapsed="false">
      <c r="A9" s="26" t="n">
        <v>8</v>
      </c>
      <c r="B9" s="26" t="s">
        <v>222</v>
      </c>
      <c r="C9" s="26" t="s">
        <v>673</v>
      </c>
      <c r="D9" s="26" t="n">
        <f aca="false">COUNTIF(Alimenti!AC2:AC182,B9)</f>
        <v>8</v>
      </c>
    </row>
    <row r="10" customFormat="false" ht="15" hidden="false" customHeight="false" outlineLevel="0" collapsed="false">
      <c r="A10" s="26" t="n">
        <v>9</v>
      </c>
      <c r="B10" s="26" t="s">
        <v>242</v>
      </c>
      <c r="C10" s="26" t="s">
        <v>674</v>
      </c>
      <c r="D10" s="26" t="n">
        <f aca="false">COUNTIF(Alimenti!AC2:AC182,B10)</f>
        <v>28</v>
      </c>
    </row>
    <row r="11" customFormat="false" ht="15" hidden="false" customHeight="false" outlineLevel="0" collapsed="false">
      <c r="A11" s="26" t="n">
        <v>10</v>
      </c>
      <c r="B11" s="26" t="s">
        <v>308</v>
      </c>
      <c r="C11" s="26" t="s">
        <v>675</v>
      </c>
      <c r="D11" s="26" t="n">
        <f aca="false">COUNTIF(Alimenti!AC2:AC182,B11)</f>
        <v>2</v>
      </c>
    </row>
    <row r="12" customFormat="false" ht="15" hidden="false" customHeight="false" outlineLevel="0" collapsed="false">
      <c r="A12" s="26" t="n">
        <v>11</v>
      </c>
      <c r="B12" s="26" t="s">
        <v>313</v>
      </c>
      <c r="C12" s="26" t="s">
        <v>315</v>
      </c>
      <c r="D12" s="26" t="n">
        <f aca="false">COUNTIF(Alimenti!AC2:AC182,B12)</f>
        <v>18</v>
      </c>
    </row>
    <row r="13" customFormat="false" ht="15" hidden="false" customHeight="false" outlineLevel="0" collapsed="false">
      <c r="A13" s="26" t="n">
        <v>12</v>
      </c>
      <c r="B13" s="26" t="s">
        <v>358</v>
      </c>
      <c r="C13" s="26" t="s">
        <v>676</v>
      </c>
      <c r="D13" s="26" t="n">
        <f aca="false">COUNTIF(Alimenti!AC2:AC182,B13)</f>
        <v>12</v>
      </c>
    </row>
    <row r="14" customFormat="false" ht="15" hidden="false" customHeight="false" outlineLevel="0" collapsed="false">
      <c r="A14" s="26" t="n">
        <v>13</v>
      </c>
      <c r="B14" s="26" t="s">
        <v>384</v>
      </c>
      <c r="C14" s="26" t="s">
        <v>677</v>
      </c>
      <c r="D14" s="26" t="n">
        <f aca="false">COUNTIF(Alimenti!AC2:AC182,B14)</f>
        <v>8</v>
      </c>
    </row>
    <row r="15" customFormat="false" ht="15" hidden="false" customHeight="false" outlineLevel="0" collapsed="false">
      <c r="A15" s="26" t="n">
        <v>14</v>
      </c>
      <c r="B15" s="26" t="s">
        <v>406</v>
      </c>
      <c r="C15" s="26" t="s">
        <v>678</v>
      </c>
      <c r="D15" s="26" t="n">
        <f aca="false">COUNTIF(Alimenti!AC2:AC182,B15)</f>
        <v>5</v>
      </c>
    </row>
    <row r="16" customFormat="false" ht="15" hidden="false" customHeight="false" outlineLevel="0" collapsed="false">
      <c r="A16" s="26" t="n">
        <v>15</v>
      </c>
      <c r="B16" s="26" t="s">
        <v>419</v>
      </c>
      <c r="C16" s="26" t="s">
        <v>679</v>
      </c>
      <c r="D16" s="26" t="n">
        <f aca="false">COUNTIF(Alimenti!AC2:AC182,B16)</f>
        <v>3</v>
      </c>
    </row>
    <row r="17" customFormat="false" ht="15" hidden="false" customHeight="false" outlineLevel="0" collapsed="false">
      <c r="A17" s="26" t="n">
        <v>16</v>
      </c>
      <c r="B17" s="26" t="s">
        <v>431</v>
      </c>
      <c r="C17" s="26" t="s">
        <v>680</v>
      </c>
      <c r="D17" s="26" t="n">
        <f aca="false">COUNTIF(Alimenti!AC2:AC182,B17)</f>
        <v>30</v>
      </c>
    </row>
    <row r="18" customFormat="false" ht="15" hidden="false" customHeight="false" outlineLevel="0" collapsed="false">
      <c r="A18" s="26" t="n">
        <v>17</v>
      </c>
      <c r="B18" s="26" t="s">
        <v>493</v>
      </c>
      <c r="C18" s="26" t="s">
        <v>681</v>
      </c>
      <c r="D18" s="26" t="n">
        <f aca="false">COUNTIF(Alimenti!AC2:AC182,B18)</f>
        <v>4</v>
      </c>
    </row>
    <row r="19" customFormat="false" ht="15" hidden="false" customHeight="false" outlineLevel="0" collapsed="false">
      <c r="B19" s="45" t="s">
        <v>682</v>
      </c>
      <c r="D19" s="45" t="n">
        <f aca="false">SUM(D2:D18)</f>
        <v>181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2026-10-15T13:10:27Z</dcterms:created>
  <dc:creator>openpyxl</dc:creator>
  <dc:description/>
  <dc:language>en-US</dc:language>
  <cp:lastModifiedBy/>
  <dcterms:modified xsi:type="dcterms:W3CDTF">2026-10-15T13:10:28Z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